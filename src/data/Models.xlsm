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\src\data\"/>
    </mc:Choice>
  </mc:AlternateContent>
  <bookViews>
    <workbookView xWindow="0" yWindow="0" windowWidth="19200" windowHeight="6930"/>
  </bookViews>
  <sheets>
    <sheet name="generals" sheetId="4" r:id="rId1"/>
    <sheet name="Hoja1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6" i="4" l="1"/>
  <c r="D65" i="4"/>
  <c r="D64" i="4"/>
  <c r="D63" i="4"/>
  <c r="D62" i="4"/>
  <c r="I69" i="4"/>
  <c r="C148" i="4" l="1"/>
  <c r="D148" i="4" s="1"/>
  <c r="C147" i="4"/>
  <c r="D147" i="4" s="1"/>
  <c r="C146" i="4"/>
  <c r="D146" i="4" s="1"/>
  <c r="C145" i="4"/>
  <c r="D145" i="4" s="1"/>
  <c r="C144" i="4"/>
  <c r="D144" i="4" s="1"/>
  <c r="C143" i="4"/>
  <c r="D143" i="4" s="1"/>
  <c r="C142" i="4"/>
  <c r="D142" i="4" s="1"/>
  <c r="C141" i="4"/>
  <c r="D141" i="4" s="1"/>
  <c r="C140" i="4"/>
  <c r="D140" i="4" s="1"/>
  <c r="C139" i="4"/>
  <c r="D139" i="4" s="1"/>
  <c r="C138" i="4"/>
  <c r="D138" i="4" s="1"/>
  <c r="C137" i="4"/>
  <c r="D137" i="4" s="1"/>
  <c r="C136" i="4"/>
  <c r="D136" i="4" s="1"/>
  <c r="C135" i="4"/>
  <c r="D135" i="4" s="1"/>
  <c r="J18" i="4" l="1"/>
  <c r="H29" i="4"/>
  <c r="H49" i="4" s="1"/>
  <c r="H34" i="4" l="1"/>
  <c r="H42" i="4"/>
  <c r="H35" i="4"/>
  <c r="H43" i="4"/>
  <c r="H45" i="4"/>
  <c r="H44" i="4"/>
  <c r="H46" i="4"/>
  <c r="H36" i="4"/>
  <c r="H37" i="4"/>
  <c r="H39" i="4"/>
  <c r="H47" i="4"/>
  <c r="H38" i="4"/>
  <c r="H32" i="4"/>
  <c r="H40" i="4"/>
  <c r="H48" i="4"/>
  <c r="H30" i="4"/>
  <c r="H31" i="4"/>
  <c r="H33" i="4"/>
  <c r="H41" i="4"/>
  <c r="E115" i="4"/>
  <c r="E116" i="4" s="1"/>
  <c r="F92" i="4"/>
  <c r="F107" i="4" s="1"/>
  <c r="G61" i="4"/>
  <c r="F52" i="4"/>
  <c r="F56" i="4" s="1"/>
  <c r="I89" i="4" l="1"/>
  <c r="I81" i="4"/>
  <c r="I73" i="4"/>
  <c r="I88" i="4"/>
  <c r="I80" i="4"/>
  <c r="I72" i="4"/>
  <c r="I87" i="4"/>
  <c r="I79" i="4"/>
  <c r="I71" i="4"/>
  <c r="I78" i="4"/>
  <c r="I70" i="4"/>
  <c r="I77" i="4"/>
  <c r="I86" i="4"/>
  <c r="I85" i="4"/>
  <c r="I84" i="4"/>
  <c r="I76" i="4"/>
  <c r="I83" i="4"/>
  <c r="I75" i="4"/>
  <c r="I82" i="4"/>
  <c r="I74" i="4"/>
  <c r="E118" i="4"/>
  <c r="E122" i="4"/>
  <c r="E126" i="4"/>
  <c r="E130" i="4"/>
  <c r="E124" i="4"/>
  <c r="E123" i="4"/>
  <c r="E131" i="4"/>
  <c r="E117" i="4"/>
  <c r="E125" i="4"/>
  <c r="E120" i="4"/>
  <c r="E128" i="4"/>
  <c r="E119" i="4"/>
  <c r="E127" i="4"/>
  <c r="E121" i="4"/>
  <c r="E129" i="4"/>
  <c r="F97" i="4"/>
  <c r="F98" i="4"/>
  <c r="F99" i="4"/>
  <c r="F106" i="4"/>
  <c r="F108" i="4"/>
  <c r="F94" i="4"/>
  <c r="F102" i="4"/>
  <c r="F110" i="4"/>
  <c r="F100" i="4"/>
  <c r="F101" i="4"/>
  <c r="F95" i="4"/>
  <c r="F103" i="4"/>
  <c r="F111" i="4"/>
  <c r="F93" i="4"/>
  <c r="F109" i="4"/>
  <c r="F96" i="4"/>
  <c r="F104" i="4"/>
  <c r="F112" i="4"/>
  <c r="F105" i="4"/>
  <c r="G63" i="4"/>
  <c r="G64" i="4"/>
  <c r="G62" i="4"/>
  <c r="G65" i="4"/>
  <c r="G66" i="4"/>
  <c r="F57" i="4"/>
  <c r="F58" i="4"/>
  <c r="F54" i="4"/>
  <c r="F55" i="4"/>
  <c r="F53" i="4"/>
  <c r="D26" i="4"/>
  <c r="D25" i="4"/>
  <c r="D24" i="4"/>
  <c r="D23" i="4"/>
  <c r="D22" i="4"/>
  <c r="D21" i="4"/>
  <c r="D20" i="4"/>
  <c r="D19" i="4"/>
  <c r="C26" i="4"/>
  <c r="C25" i="4"/>
  <c r="J25" i="4" s="1"/>
  <c r="C24" i="4"/>
  <c r="J24" i="4" s="1"/>
  <c r="C23" i="4"/>
  <c r="J23" i="4" s="1"/>
  <c r="C22" i="4"/>
  <c r="C21" i="4"/>
  <c r="J21" i="4" s="1"/>
  <c r="C20" i="4"/>
  <c r="J20" i="4" s="1"/>
  <c r="C19" i="4"/>
  <c r="D15" i="4"/>
  <c r="D14" i="4"/>
  <c r="D13" i="4"/>
  <c r="D12" i="4"/>
  <c r="D11" i="4"/>
  <c r="J19" i="4" l="1"/>
  <c r="J22" i="4"/>
  <c r="J26" i="4"/>
  <c r="E3" i="4"/>
  <c r="F10" i="4"/>
  <c r="F14" i="4" l="1"/>
  <c r="F13" i="4"/>
  <c r="F12" i="4"/>
  <c r="F11" i="4"/>
  <c r="F15" i="4"/>
  <c r="E5" i="4"/>
  <c r="E4" i="4"/>
  <c r="E7" i="4"/>
  <c r="E6" i="4"/>
</calcChain>
</file>

<file path=xl/sharedStrings.xml><?xml version="1.0" encoding="utf-8"?>
<sst xmlns="http://schemas.openxmlformats.org/spreadsheetml/2006/main" count="233" uniqueCount="117">
  <si>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</si>
  <si>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</si>
  <si>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</si>
  <si>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</si>
  <si>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</si>
  <si>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</si>
  <si>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</si>
  <si>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</si>
  <si>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</si>
  <si>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company_email</t>
  </si>
  <si>
    <t>company1</t>
  </si>
  <si>
    <t>company2</t>
  </si>
  <si>
    <t>company3</t>
  </si>
  <si>
    <t>company4</t>
  </si>
  <si>
    <t>company5</t>
  </si>
  <si>
    <t>users</t>
  </si>
  <si>
    <t>first_name</t>
  </si>
  <si>
    <t>last_name</t>
  </si>
  <si>
    <t>id_user_categories</t>
  </si>
  <si>
    <t>id_companies</t>
  </si>
  <si>
    <t>password</t>
  </si>
  <si>
    <t>administrador_general1@gmail.com</t>
  </si>
  <si>
    <t>administrador_general2@gmail.com</t>
  </si>
  <si>
    <t>administrador_institucion1@gmail.com</t>
  </si>
  <si>
    <t>administrador_institucion2@gmail.com</t>
  </si>
  <si>
    <t>profesor1@gmail.com</t>
  </si>
  <si>
    <t>profesor2@gmail.com</t>
  </si>
  <si>
    <t>alumno1@gmail.com</t>
  </si>
  <si>
    <t>alumno2@gmail.com</t>
  </si>
  <si>
    <t>pswuser1</t>
  </si>
  <si>
    <t>pswuser2</t>
  </si>
  <si>
    <t>token</t>
  </si>
  <si>
    <t>$2a$10$lLNATnUCN0xgjxl7qzGOZes41q0kgYOdq2ttPnRUmgCl.FGQQoVnW</t>
  </si>
  <si>
    <t>$2a$10$/OYqYl72td9ltVT5iSHoyO2Orh.74HFEXoI3mAchIMv5CYNKLUwle</t>
  </si>
  <si>
    <t>$2a$10$0v5QvtczgutBxp1CIZCZ/OYF3I3HlV/I/0EjQePekG314VQQ38zFO</t>
  </si>
  <si>
    <t>$2a$10$pbx.09Bo/KZ//CEaMEBSN.Q5USbMFsDhGU/JdHmCNK66kijpHd1nK</t>
  </si>
  <si>
    <t>$2a$10$XCHGKkK0h1rR3pi3cPFFxeV3WS2ifpSSCifKeleG4nqlKLyYkO1v2</t>
  </si>
  <si>
    <t>$2a$10$flsRN9KlzpkasdLafnnpKOabpUjztGw0NsrdsBh8xM496jHTZPXHy</t>
  </si>
  <si>
    <t>$2a$10$GIroy45aYbOioOugKgCAMO7AUVE77HQNt/gwizaTtRtkxh8GPy67C</t>
  </si>
  <si>
    <t>$2a$10$8NPWP.CiaBlovpVQEX8dTufckp3KxhZpqJj6/UCyt0X.w58kP1Ke2</t>
  </si>
  <si>
    <t>$2a$10$IvDobQMfy.kbsoXK8qo.Wehob50g1KBu0yMLEbxwKOMfgyFbshNCe</t>
  </si>
  <si>
    <t>$2a$10$FBnMJiicD2bAq9T1yLIlQOiHdKKEs0pfGWVJYOyM5LZ6f.kmFQHMa</t>
  </si>
  <si>
    <t>$2a$10$lKnrrX81a3cC.f0OjxiBqOKKgwyypafzNkgYSbtC7uSghc4HVcTgS</t>
  </si>
  <si>
    <t>$2a$10$Y5RL.6JIBjWbhCu9GhzK1efQVEapDVhgHD5pX0PAml4gv0jK0uBWS</t>
  </si>
  <si>
    <t>$2a$10$XCNQtm8A3v0pqZ9R0Tidb.4gW81fW8RLztaAewxQxnfJAKtOminqa</t>
  </si>
  <si>
    <t>$2a$10$MdnY.iTY3bRHrJ5uYn7SiOtqyoffo6BptG3jAuNIC4SMOLGRwWtSy</t>
  </si>
  <si>
    <t>$2a$10$sPc7TuWF8FlP0uJ86IeEk.4uDkKlJ5msviGY6KNwQB9CqP4o8PT1K</t>
  </si>
  <si>
    <t>$2a$10$8XVC0wVqAQ0Ot7kUTABDe.f7uMRmWBCM07tFbO6q/nrx2GPn/HCWO</t>
  </si>
  <si>
    <t>$2a$10$ArXX9t7PusIkdqXDfILOxeGVmdClJJOsi574JywD0RbgfwpJtk//.</t>
  </si>
  <si>
    <t>$2a$10$nHtVd0xHH7KOIHa.jTkLQuUI01K6v7o7JSRygB6fcpsRrfZa1.eWe</t>
  </si>
  <si>
    <t>$2a$10$SBy8vZ7tPVjfeHJ/Otgyjuaouib1lXb393TqIcZ.C/dVpt4RuvdyC</t>
  </si>
  <si>
    <t>$2a$10$Kp0x8/XodKF4m.xBb0EyR.wTyOvW2QI4DI6t282WJOcbYZ3m3cwxu</t>
  </si>
  <si>
    <t>tokens</t>
  </si>
  <si>
    <t>user_email</t>
  </si>
  <si>
    <t>simulators</t>
  </si>
  <si>
    <t>simulator</t>
  </si>
  <si>
    <t>simulator1</t>
  </si>
  <si>
    <t>simulator2</t>
  </si>
  <si>
    <t>simulator3</t>
  </si>
  <si>
    <t>simulator4</t>
  </si>
  <si>
    <t>simulator5</t>
  </si>
  <si>
    <t>simulator6</t>
  </si>
  <si>
    <t>courses</t>
  </si>
  <si>
    <t>course_name</t>
  </si>
  <si>
    <t>course1</t>
  </si>
  <si>
    <t>course2</t>
  </si>
  <si>
    <t>course3</t>
  </si>
  <si>
    <t>course4</t>
  </si>
  <si>
    <t>course5</t>
  </si>
  <si>
    <t>id_courses</t>
  </si>
  <si>
    <t>id_simulators</t>
  </si>
  <si>
    <t>id_teachers</t>
  </si>
  <si>
    <t>id_students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</si>
  <si>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</si>
  <si>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</si>
  <si>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</si>
  <si>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</si>
  <si>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</si>
  <si>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</si>
  <si>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</si>
  <si>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</si>
  <si>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</si>
  <si>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#0020002</t>
  </si>
  <si>
    <t>#0020003</t>
  </si>
  <si>
    <t>#0020004</t>
  </si>
  <si>
    <t>#0030001</t>
  </si>
  <si>
    <t>#0030002</t>
  </si>
  <si>
    <t>#0030003</t>
  </si>
  <si>
    <t>#0030004</t>
  </si>
  <si>
    <t>#0040001</t>
  </si>
  <si>
    <t>#0040002</t>
  </si>
  <si>
    <t>#0040003</t>
  </si>
  <si>
    <t>#0040004</t>
  </si>
  <si>
    <t>#0050001</t>
  </si>
  <si>
    <t>#0050002</t>
  </si>
  <si>
    <t>#0050003</t>
  </si>
  <si>
    <t>#0050004</t>
  </si>
  <si>
    <t>decsription</t>
  </si>
  <si>
    <t>simulador uno</t>
  </si>
  <si>
    <t>simulador dos</t>
  </si>
  <si>
    <t>simulador tres</t>
  </si>
  <si>
    <t>simulador cuatro</t>
  </si>
  <si>
    <t>simulador cinco</t>
  </si>
  <si>
    <t>simulador seis</t>
  </si>
  <si>
    <t>course_commission</t>
  </si>
  <si>
    <t>commission</t>
  </si>
  <si>
    <t>course_commissions_students</t>
  </si>
  <si>
    <t>ejercice_description</t>
  </si>
  <si>
    <t>exercises</t>
  </si>
  <si>
    <t>exercise_name</t>
  </si>
  <si>
    <t>enabled</t>
  </si>
  <si>
    <t>true</t>
  </si>
  <si>
    <t>course_description</t>
  </si>
  <si>
    <t>id_course_commission</t>
  </si>
  <si>
    <t>exercises_results</t>
  </si>
  <si>
    <t>id_exercise</t>
  </si>
  <si>
    <t>course_simulators_exercises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</si>
</sst>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2" fillId="0" borderId="1" xfId="0" applyFont="1" applyBorder="1"/>
    <xf numFmtId="0" fontId="3" fillId="2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3" fillId="0" borderId="1" xfId="1" quotePrefix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center"/>
    </xf>
  </cellXfs>
  <cellStyles count="2"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51"/>
  <sheetViews>
    <sheetView showGridLines="0" tabSelected="1" topLeftCell="A86" workbookViewId="0">
      <selection activeCell="D93" sqref="D93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19.26953125" style="1" customWidth="1"/>
    <col min="4" max="4" width="19.54296875" style="1" customWidth="1"/>
    <col min="5" max="5" width="13.08984375" style="1" customWidth="1"/>
    <col min="6" max="6" width="11.7265625" style="1" customWidth="1"/>
    <col min="7" max="7" width="13.81640625" style="1" customWidth="1"/>
    <col min="8" max="8" width="14.90625" style="1" customWidth="1"/>
    <col min="9" max="16384" width="10.90625" style="1"/>
  </cols>
  <sheetData>
    <row r="2" spans="2:6" x14ac:dyDescent="0.25">
      <c r="B2" s="1" t="s">
        <v>2</v>
      </c>
    </row>
    <row r="3" spans="2:6" x14ac:dyDescent="0.25">
      <c r="B3" s="2" t="s">
        <v>0</v>
      </c>
      <c r="C3" s="2" t="s">
        <v>1</v>
      </c>
      <c r="D3" s="2" t="s">
        <v>110</v>
      </c>
      <c r="E3" s="1" t="str">
        <f>+"("&amp;C3&amp;")"</f>
        <v>(category_name)</v>
      </c>
    </row>
    <row r="4" spans="2:6" x14ac:dyDescent="0.25">
      <c r="B4" s="3">
        <v>1</v>
      </c>
      <c r="C4" s="4" t="s">
        <v>4</v>
      </c>
      <c r="D4" s="4" t="s">
        <v>111</v>
      </c>
      <c r="E4" s="1" t="str">
        <f>+"INSERT INTO schema_db." &amp; $B$2 &amp; " " &amp;$E$3&amp;" VALUES('"&amp;C4&amp;"');"</f>
        <v>INSERT INTO schema_db.user_categories (category_name) VALUES('administrador_general');</v>
      </c>
    </row>
    <row r="5" spans="2:6" x14ac:dyDescent="0.25">
      <c r="B5" s="3">
        <v>2</v>
      </c>
      <c r="C5" s="4" t="s">
        <v>3</v>
      </c>
      <c r="D5" s="4" t="s">
        <v>111</v>
      </c>
      <c r="E5" s="1" t="str">
        <f>+"INSERT INTO schema_db." &amp; $B$2 &amp; " " &amp;$E$3&amp;" VALUES('"&amp;C5&amp;"');"</f>
        <v>INSERT INTO schema_db.user_categories (category_name) VALUES('administrador_institucion');</v>
      </c>
    </row>
    <row r="6" spans="2:6" x14ac:dyDescent="0.25">
      <c r="B6" s="3">
        <v>3</v>
      </c>
      <c r="C6" s="4" t="s">
        <v>5</v>
      </c>
      <c r="D6" s="4" t="s">
        <v>111</v>
      </c>
      <c r="E6" s="1" t="str">
        <f>+"INSERT INTO schema_db." &amp; $B$2 &amp; " " &amp;$E$3&amp;" VALUES('"&amp;C6&amp;"');"</f>
        <v>INSERT INTO schema_db.user_categories (category_name) VALUES('profesor');</v>
      </c>
    </row>
    <row r="7" spans="2:6" x14ac:dyDescent="0.25">
      <c r="B7" s="3">
        <v>4</v>
      </c>
      <c r="C7" s="4" t="s">
        <v>6</v>
      </c>
      <c r="D7" s="4" t="s">
        <v>111</v>
      </c>
      <c r="E7" s="1" t="str">
        <f>+"INSERT INTO schema_db." &amp; $B$2 &amp; " " &amp;$E$3&amp;" VALUES('"&amp;C7&amp;"');"</f>
        <v>INSERT INTO schema_db.user_categories (category_name) VALUES('alumno');</v>
      </c>
    </row>
    <row r="9" spans="2:6" x14ac:dyDescent="0.25">
      <c r="B9" s="1" t="s">
        <v>7</v>
      </c>
    </row>
    <row r="10" spans="2:6" x14ac:dyDescent="0.25">
      <c r="B10" s="2" t="s">
        <v>0</v>
      </c>
      <c r="C10" s="2" t="s">
        <v>8</v>
      </c>
      <c r="D10" s="2" t="s">
        <v>9</v>
      </c>
      <c r="E10" s="2" t="s">
        <v>110</v>
      </c>
      <c r="F10" s="1" t="str">
        <f>+"("&amp;C10&amp;","&amp;D10&amp;")"</f>
        <v>(company_name,company_email)</v>
      </c>
    </row>
    <row r="11" spans="2:6" x14ac:dyDescent="0.25">
      <c r="B11" s="3">
        <v>1</v>
      </c>
      <c r="C11" s="4" t="s">
        <v>10</v>
      </c>
      <c r="D11" s="4" t="str">
        <f>+C11&amp;"@"&amp;C11&amp;".com"</f>
        <v>company1@company1.com</v>
      </c>
      <c r="E11" s="4" t="s">
        <v>111</v>
      </c>
      <c r="F11" s="1" t="str">
        <f>+"INSERT INTO schema_db." &amp; $B$9 &amp; " " &amp;$F$10&amp;" VALUES('"&amp;C11&amp;"','"&amp;D11&amp;"');"</f>
        <v>INSERT INTO schema_db.companies (company_name,company_email) VALUES('company1','company1@company1.com');</v>
      </c>
    </row>
    <row r="12" spans="2:6" x14ac:dyDescent="0.25">
      <c r="B12" s="3">
        <v>2</v>
      </c>
      <c r="C12" s="4" t="s">
        <v>11</v>
      </c>
      <c r="D12" s="4" t="str">
        <f t="shared" ref="D12:D15" si="0">+C12&amp;"@"&amp;C12&amp;".com"</f>
        <v>company2@company2.com</v>
      </c>
      <c r="E12" s="4" t="s">
        <v>111</v>
      </c>
      <c r="F12" s="1" t="str">
        <f>+"INSERT INTO schema_db." &amp; $B$9 &amp; " " &amp;$F$10&amp;" VALUES('"&amp;C12&amp;"','"&amp;D12&amp;"');"</f>
        <v>INSERT INTO schema_db.companies (company_name,company_email) VALUES('company2','company2@company2.com');</v>
      </c>
    </row>
    <row r="13" spans="2:6" x14ac:dyDescent="0.25">
      <c r="B13" s="3">
        <v>3</v>
      </c>
      <c r="C13" s="4" t="s">
        <v>12</v>
      </c>
      <c r="D13" s="4" t="str">
        <f t="shared" si="0"/>
        <v>company3@company3.com</v>
      </c>
      <c r="E13" s="4" t="s">
        <v>111</v>
      </c>
      <c r="F13" s="1" t="str">
        <f>+"INSERT INTO schema_db." &amp; $B$9 &amp; " " &amp;$F$10&amp;" VALUES('"&amp;C13&amp;"','"&amp;D13&amp;"');"</f>
        <v>INSERT INTO schema_db.companies (company_name,company_email) VALUES('company3','company3@company3.com');</v>
      </c>
    </row>
    <row r="14" spans="2:6" x14ac:dyDescent="0.25">
      <c r="B14" s="3">
        <v>4</v>
      </c>
      <c r="C14" s="4" t="s">
        <v>13</v>
      </c>
      <c r="D14" s="4" t="str">
        <f t="shared" si="0"/>
        <v>company4@company4.com</v>
      </c>
      <c r="E14" s="4" t="s">
        <v>111</v>
      </c>
      <c r="F14" s="1" t="str">
        <f>+"INSERT INTO schema_db." &amp; $B$9 &amp; " " &amp;$F$10&amp;" VALUES('"&amp;C14&amp;"','"&amp;D14&amp;"');"</f>
        <v>INSERT INTO schema_db.companies (company_name,company_email) VALUES('company4','company4@company4.com');</v>
      </c>
    </row>
    <row r="15" spans="2:6" x14ac:dyDescent="0.25">
      <c r="B15" s="3">
        <v>5</v>
      </c>
      <c r="C15" s="4" t="s">
        <v>14</v>
      </c>
      <c r="D15" s="4" t="str">
        <f t="shared" si="0"/>
        <v>company5@company5.com</v>
      </c>
      <c r="E15" s="4" t="s">
        <v>111</v>
      </c>
      <c r="F15" s="1" t="str">
        <f>+"INSERT INTO schema_db." &amp; $B$9 &amp; " " &amp;$F$10&amp;" VALUES('"&amp;C15&amp;"','"&amp;D15&amp;"');"</f>
        <v>INSERT INTO schema_db.companies (company_name,company_email) VALUES('company5','company5@company5.com');</v>
      </c>
    </row>
    <row r="17" spans="2:10" x14ac:dyDescent="0.25">
      <c r="B17" s="1" t="s">
        <v>15</v>
      </c>
    </row>
    <row r="18" spans="2:10" x14ac:dyDescent="0.25">
      <c r="B18" s="2" t="s">
        <v>0</v>
      </c>
      <c r="C18" s="2" t="s">
        <v>16</v>
      </c>
      <c r="D18" s="2" t="s">
        <v>17</v>
      </c>
      <c r="E18" s="2" t="s">
        <v>53</v>
      </c>
      <c r="F18" s="2" t="s">
        <v>20</v>
      </c>
      <c r="G18" s="2" t="s">
        <v>18</v>
      </c>
      <c r="H18" s="2" t="s">
        <v>19</v>
      </c>
      <c r="I18" s="2" t="s">
        <v>110</v>
      </c>
      <c r="J18" s="1" t="str">
        <f>+"("&amp;C18&amp;","&amp;D18&amp;","&amp;E18&amp;","&amp;F18&amp;","&amp;G18&amp;","&amp;H18&amp;")"</f>
        <v>(first_name,last_name,user_email,password,id_user_categories,id_companies)</v>
      </c>
    </row>
    <row r="19" spans="2:10" x14ac:dyDescent="0.25">
      <c r="B19" s="3">
        <v>1</v>
      </c>
      <c r="C19" s="4" t="str">
        <f>+$C$18&amp;B19</f>
        <v>first_name1</v>
      </c>
      <c r="D19" s="4" t="str">
        <f>+$D$18&amp;B19</f>
        <v>last_name1</v>
      </c>
      <c r="E19" s="7" t="s">
        <v>21</v>
      </c>
      <c r="F19" s="3" t="s">
        <v>29</v>
      </c>
      <c r="G19" s="3">
        <v>1</v>
      </c>
      <c r="H19" s="3">
        <v>1</v>
      </c>
      <c r="I19" s="4" t="s">
        <v>111</v>
      </c>
      <c r="J19" s="1" t="str">
        <f>+"INSERT INTO schema_db." &amp; $B$17 &amp; " " &amp;$J$18&amp;" VALUES('"&amp;C19&amp;"','"&amp;D19&amp;"','"&amp;E19&amp;"','"&amp;F19&amp;"',"&amp;G19&amp;","&amp;H19&amp;");"</f>
        <v>INSERT INTO schema_db.users (first_name,last_name,user_email,password,id_user_categories,id_companies) VALUES('first_name1','last_name1','administrador_general1@gmail.com','pswuser1',1,1);</v>
      </c>
    </row>
    <row r="20" spans="2:10" x14ac:dyDescent="0.25">
      <c r="B20" s="3">
        <v>2</v>
      </c>
      <c r="C20" s="4" t="str">
        <f t="shared" ref="C20:C26" si="1">+$C$18&amp;B20</f>
        <v>first_name2</v>
      </c>
      <c r="D20" s="4" t="str">
        <f t="shared" ref="D20:D26" si="2">+$D$18&amp;B20</f>
        <v>last_name2</v>
      </c>
      <c r="E20" s="3" t="s">
        <v>22</v>
      </c>
      <c r="F20" s="3" t="s">
        <v>30</v>
      </c>
      <c r="G20" s="3">
        <v>1</v>
      </c>
      <c r="H20" s="3">
        <v>2</v>
      </c>
      <c r="I20" s="4" t="s">
        <v>111</v>
      </c>
      <c r="J20" s="1" t="str">
        <f>+"INSERT INTO schema_db." &amp; $B$17 &amp; " " &amp;$J$18&amp;" VALUES('"&amp;C20&amp;"','"&amp;D20&amp;"','"&amp;E20&amp;"','"&amp;F20&amp;"',"&amp;G20&amp;","&amp;H20&amp;");"</f>
        <v>INSERT INTO schema_db.users (first_name,last_name,user_email,password,id_user_categories,id_companies) VALUES('first_name2','last_name2','administrador_general2@gmail.com','pswuser2',1,2);</v>
      </c>
    </row>
    <row r="21" spans="2:10" x14ac:dyDescent="0.25">
      <c r="B21" s="3">
        <v>3</v>
      </c>
      <c r="C21" s="4" t="str">
        <f t="shared" si="1"/>
        <v>first_name3</v>
      </c>
      <c r="D21" s="4" t="str">
        <f t="shared" si="2"/>
        <v>last_name3</v>
      </c>
      <c r="E21" s="3" t="s">
        <v>23</v>
      </c>
      <c r="F21" s="3" t="s">
        <v>29</v>
      </c>
      <c r="G21" s="3">
        <v>2</v>
      </c>
      <c r="H21" s="3">
        <v>3</v>
      </c>
      <c r="I21" s="4" t="s">
        <v>111</v>
      </c>
      <c r="J21" s="1" t="str">
        <f>+"INSERT INTO schema_db." &amp; $B$17 &amp; " " &amp;$J$18&amp;" VALUES('"&amp;C21&amp;"','"&amp;D21&amp;"','"&amp;E21&amp;"','"&amp;F21&amp;"',"&amp;G21&amp;","&amp;H21&amp;");"</f>
        <v>INSERT INTO schema_db.users (first_name,last_name,user_email,password,id_user_categories,id_companies) VALUES('first_name3','last_name3','administrador_institucion1@gmail.com','pswuser1',2,3);</v>
      </c>
    </row>
    <row r="22" spans="2:10" x14ac:dyDescent="0.25">
      <c r="B22" s="3">
        <v>4</v>
      </c>
      <c r="C22" s="4" t="str">
        <f t="shared" si="1"/>
        <v>first_name4</v>
      </c>
      <c r="D22" s="4" t="str">
        <f t="shared" si="2"/>
        <v>last_name4</v>
      </c>
      <c r="E22" s="3" t="s">
        <v>24</v>
      </c>
      <c r="F22" s="3" t="s">
        <v>30</v>
      </c>
      <c r="G22" s="3">
        <v>2</v>
      </c>
      <c r="H22" s="3">
        <v>4</v>
      </c>
      <c r="I22" s="4" t="s">
        <v>111</v>
      </c>
      <c r="J22" s="1" t="str">
        <f>+"INSERT INTO schema_db." &amp; $B$17 &amp; " " &amp;$J$18&amp;" VALUES('"&amp;C22&amp;"','"&amp;D22&amp;"','"&amp;E22&amp;"','"&amp;F22&amp;"',"&amp;G22&amp;","&amp;H22&amp;");"</f>
        <v>INSERT INTO schema_db.users (first_name,last_name,user_email,password,id_user_categories,id_companies) VALUES('first_name4','last_name4','administrador_institucion2@gmail.com','pswuser2',2,4);</v>
      </c>
    </row>
    <row r="23" spans="2:10" x14ac:dyDescent="0.25">
      <c r="B23" s="3">
        <v>5</v>
      </c>
      <c r="C23" s="4" t="str">
        <f t="shared" si="1"/>
        <v>first_name5</v>
      </c>
      <c r="D23" s="4" t="str">
        <f t="shared" si="2"/>
        <v>last_name5</v>
      </c>
      <c r="E23" s="3" t="s">
        <v>25</v>
      </c>
      <c r="F23" s="3" t="s">
        <v>29</v>
      </c>
      <c r="G23" s="3">
        <v>3</v>
      </c>
      <c r="H23" s="3">
        <v>5</v>
      </c>
      <c r="I23" s="4" t="s">
        <v>111</v>
      </c>
      <c r="J23" s="1" t="str">
        <f>+"INSERT INTO schema_db." &amp; $B$17 &amp; " " &amp;$J$18&amp;" VALUES('"&amp;C23&amp;"','"&amp;D23&amp;"','"&amp;E23&amp;"','"&amp;F23&amp;"',"&amp;G23&amp;","&amp;H23&amp;");"</f>
        <v>INSERT INTO schema_db.users (first_name,last_name,user_email,password,id_user_categories,id_companies) VALUES('first_name5','last_name5','profesor1@gmail.com','pswuser1',3,5);</v>
      </c>
    </row>
    <row r="24" spans="2:10" x14ac:dyDescent="0.25">
      <c r="B24" s="3">
        <v>6</v>
      </c>
      <c r="C24" s="4" t="str">
        <f t="shared" si="1"/>
        <v>first_name6</v>
      </c>
      <c r="D24" s="4" t="str">
        <f t="shared" si="2"/>
        <v>last_name6</v>
      </c>
      <c r="E24" s="3" t="s">
        <v>26</v>
      </c>
      <c r="F24" s="3" t="s">
        <v>30</v>
      </c>
      <c r="G24" s="3">
        <v>3</v>
      </c>
      <c r="H24" s="3">
        <v>1</v>
      </c>
      <c r="I24" s="4" t="s">
        <v>111</v>
      </c>
      <c r="J24" s="1" t="str">
        <f>+"INSERT INTO schema_db." &amp; $B$17 &amp; " " &amp;$J$18&amp;" VALUES('"&amp;C24&amp;"','"&amp;D24&amp;"','"&amp;E24&amp;"','"&amp;F24&amp;"',"&amp;G24&amp;","&amp;H24&amp;");"</f>
        <v>INSERT INTO schema_db.users (first_name,last_name,user_email,password,id_user_categories,id_companies) VALUES('first_name6','last_name6','profesor2@gmail.com','pswuser2',3,1);</v>
      </c>
    </row>
    <row r="25" spans="2:10" x14ac:dyDescent="0.25">
      <c r="B25" s="3">
        <v>7</v>
      </c>
      <c r="C25" s="4" t="str">
        <f t="shared" si="1"/>
        <v>first_name7</v>
      </c>
      <c r="D25" s="4" t="str">
        <f t="shared" si="2"/>
        <v>last_name7</v>
      </c>
      <c r="E25" s="3" t="s">
        <v>27</v>
      </c>
      <c r="F25" s="3" t="s">
        <v>29</v>
      </c>
      <c r="G25" s="3">
        <v>4</v>
      </c>
      <c r="H25" s="3">
        <v>2</v>
      </c>
      <c r="I25" s="4" t="s">
        <v>111</v>
      </c>
      <c r="J25" s="1" t="str">
        <f>+"INSERT INTO schema_db." &amp; $B$17 &amp; " " &amp;$J$18&amp;" VALUES('"&amp;C25&amp;"','"&amp;D25&amp;"','"&amp;E25&amp;"','"&amp;F25&amp;"',"&amp;G25&amp;","&amp;H25&amp;");"</f>
        <v>INSERT INTO schema_db.users (first_name,last_name,user_email,password,id_user_categories,id_companies) VALUES('first_name7','last_name7','alumno1@gmail.com','pswuser1',4,2);</v>
      </c>
    </row>
    <row r="26" spans="2:10" x14ac:dyDescent="0.25">
      <c r="B26" s="3">
        <v>8</v>
      </c>
      <c r="C26" s="4" t="str">
        <f t="shared" si="1"/>
        <v>first_name8</v>
      </c>
      <c r="D26" s="4" t="str">
        <f t="shared" si="2"/>
        <v>last_name8</v>
      </c>
      <c r="E26" s="3" t="s">
        <v>28</v>
      </c>
      <c r="F26" s="3" t="s">
        <v>30</v>
      </c>
      <c r="G26" s="3">
        <v>4</v>
      </c>
      <c r="H26" s="3">
        <v>3</v>
      </c>
      <c r="I26" s="4" t="s">
        <v>111</v>
      </c>
      <c r="J26" s="1" t="str">
        <f>+"INSERT INTO schema_db." &amp; $B$17 &amp; " " &amp;$J$18&amp;" VALUES('"&amp;C26&amp;"','"&amp;D26&amp;"','"&amp;E26&amp;"','"&amp;F26&amp;"',"&amp;G26&amp;","&amp;H26&amp;");"</f>
        <v>INSERT INTO schema_db.users (first_name,last_name,user_email,password,id_user_categories,id_companies) VALUES('first_name8','last_name8','alumno2@gmail.com','pswuser2',4,3);</v>
      </c>
    </row>
    <row r="27" spans="2:10" ht="14.5" x14ac:dyDescent="0.35">
      <c r="F27"/>
    </row>
    <row r="28" spans="2:10" ht="14.5" x14ac:dyDescent="0.35">
      <c r="B28" s="1" t="s">
        <v>52</v>
      </c>
      <c r="F28"/>
    </row>
    <row r="29" spans="2:10" x14ac:dyDescent="0.25">
      <c r="B29" s="6" t="s">
        <v>0</v>
      </c>
      <c r="C29" s="6" t="s">
        <v>31</v>
      </c>
      <c r="D29" s="6" t="s">
        <v>19</v>
      </c>
      <c r="E29" s="6" t="s">
        <v>18</v>
      </c>
      <c r="F29" s="6" t="s">
        <v>74</v>
      </c>
      <c r="G29" s="2" t="s">
        <v>110</v>
      </c>
      <c r="H29" s="1" t="str">
        <f>+"("&amp;C29&amp;","&amp;D29&amp;","&amp;E29&amp;","&amp;F29&amp;")"</f>
        <v>(token,id_companies,id_user_categories,id_users)</v>
      </c>
    </row>
    <row r="30" spans="2:10" ht="13" customHeight="1" x14ac:dyDescent="0.35">
      <c r="B30" s="3">
        <v>1</v>
      </c>
      <c r="C30" s="3" t="s">
        <v>32</v>
      </c>
      <c r="D30" s="4">
        <v>1</v>
      </c>
      <c r="E30" s="4">
        <v>2</v>
      </c>
      <c r="F30" s="8" t="s">
        <v>73</v>
      </c>
      <c r="G30" s="8" t="s">
        <v>111</v>
      </c>
      <c r="H30" s="1" t="str">
        <f>+"INSERT INTO schema_db." &amp; $B$28 &amp; " " &amp;$H$29&amp;" VALUES('"&amp;C30&amp;"',"&amp;D30&amp;","&amp;E30&amp;","&amp;F30&amp;");"</f>
        <v>INSERT INTO schema_db.tokens (token,id_companies,id_user_categories,id_users) VALUES('$2a$10$lLNATnUCN0xgjxl7qzGOZes41q0kgYOdq2ttPnRUmgCl.FGQQoVnW',1,2,NULL);</v>
      </c>
      <c r="I30"/>
    </row>
    <row r="31" spans="2:10" ht="13" customHeight="1" x14ac:dyDescent="0.35">
      <c r="B31" s="3">
        <v>2</v>
      </c>
      <c r="C31" s="3" t="s">
        <v>33</v>
      </c>
      <c r="D31" s="4">
        <v>1</v>
      </c>
      <c r="E31" s="4">
        <v>3</v>
      </c>
      <c r="F31" s="8" t="s">
        <v>73</v>
      </c>
      <c r="G31" s="8" t="s">
        <v>111</v>
      </c>
      <c r="H31" s="1" t="str">
        <f>+"INSERT INTO schema_db." &amp; $B$28 &amp; " " &amp;$H$29&amp;" VALUES('"&amp;C31&amp;"',"&amp;D31&amp;","&amp;E31&amp;","&amp;F31&amp;");"</f>
        <v>INSERT INTO schema_db.tokens (token,id_companies,id_user_categories,id_users) VALUES('$2a$10$/OYqYl72td9ltVT5iSHoyO2Orh.74HFEXoI3mAchIMv5CYNKLUwle',1,3,NULL);</v>
      </c>
      <c r="I31"/>
    </row>
    <row r="32" spans="2:10" ht="13" customHeight="1" x14ac:dyDescent="0.35">
      <c r="B32" s="3">
        <v>3</v>
      </c>
      <c r="C32" s="3" t="s">
        <v>34</v>
      </c>
      <c r="D32" s="4">
        <v>1</v>
      </c>
      <c r="E32" s="4">
        <v>3</v>
      </c>
      <c r="F32" s="8" t="s">
        <v>73</v>
      </c>
      <c r="G32" s="8" t="s">
        <v>111</v>
      </c>
      <c r="H32" s="1" t="str">
        <f>+"INSERT INTO schema_db." &amp; $B$28 &amp; " " &amp;$H$29&amp;" VALUES('"&amp;C32&amp;"',"&amp;D32&amp;","&amp;E32&amp;","&amp;F32&amp;");"</f>
        <v>INSERT INTO schema_db.tokens (token,id_companies,id_user_categories,id_users) VALUES('$2a$10$0v5QvtczgutBxp1CIZCZ/OYF3I3HlV/I/0EjQePekG314VQQ38zFO',1,3,NULL);</v>
      </c>
      <c r="I32"/>
    </row>
    <row r="33" spans="2:9" ht="13" customHeight="1" x14ac:dyDescent="0.35">
      <c r="B33" s="3">
        <v>4</v>
      </c>
      <c r="C33" s="3" t="s">
        <v>35</v>
      </c>
      <c r="D33" s="4">
        <v>1</v>
      </c>
      <c r="E33" s="4">
        <v>4</v>
      </c>
      <c r="F33" s="8" t="s">
        <v>73</v>
      </c>
      <c r="G33" s="8" t="s">
        <v>111</v>
      </c>
      <c r="H33" s="1" t="str">
        <f>+"INSERT INTO schema_db." &amp; $B$28 &amp; " " &amp;$H$29&amp;" VALUES('"&amp;C33&amp;"',"&amp;D33&amp;","&amp;E33&amp;","&amp;F33&amp;");"</f>
        <v>INSERT INTO schema_db.tokens (token,id_companies,id_user_categories,id_users) VALUES('$2a$10$pbx.09Bo/KZ//CEaMEBSN.Q5USbMFsDhGU/JdHmCNK66kijpHd1nK',1,4,NULL);</v>
      </c>
      <c r="I33"/>
    </row>
    <row r="34" spans="2:9" ht="13" customHeight="1" x14ac:dyDescent="0.35">
      <c r="B34" s="3">
        <v>5</v>
      </c>
      <c r="C34" s="3" t="s">
        <v>36</v>
      </c>
      <c r="D34" s="4">
        <v>1</v>
      </c>
      <c r="E34" s="4">
        <v>4</v>
      </c>
      <c r="F34" s="8" t="s">
        <v>73</v>
      </c>
      <c r="G34" s="8" t="s">
        <v>111</v>
      </c>
      <c r="H34" s="1" t="str">
        <f>+"INSERT INTO schema_db." &amp; $B$28 &amp; " " &amp;$H$29&amp;" VALUES('"&amp;C34&amp;"',"&amp;D34&amp;","&amp;E34&amp;","&amp;F34&amp;");"</f>
        <v>INSERT INTO schema_db.tokens (token,id_companies,id_user_categories,id_users) VALUES('$2a$10$XCHGKkK0h1rR3pi3cPFFxeV3WS2ifpSSCifKeleG4nqlKLyYkO1v2',1,4,NULL);</v>
      </c>
      <c r="I34"/>
    </row>
    <row r="35" spans="2:9" ht="13" customHeight="1" x14ac:dyDescent="0.35">
      <c r="B35" s="3">
        <v>6</v>
      </c>
      <c r="C35" s="3" t="s">
        <v>37</v>
      </c>
      <c r="D35" s="4">
        <v>1</v>
      </c>
      <c r="E35" s="4">
        <v>4</v>
      </c>
      <c r="F35" s="8" t="s">
        <v>73</v>
      </c>
      <c r="G35" s="8" t="s">
        <v>111</v>
      </c>
      <c r="H35" s="1" t="str">
        <f>+"INSERT INTO schema_db." &amp; $B$28 &amp; " " &amp;$H$29&amp;" VALUES('"&amp;C35&amp;"',"&amp;D35&amp;","&amp;E35&amp;","&amp;F35&amp;");"</f>
        <v>INSERT INTO schema_db.tokens (token,id_companies,id_user_categories,id_users) VALUES('$2a$10$flsRN9KlzpkasdLafnnpKOabpUjztGw0NsrdsBh8xM496jHTZPXHy',1,4,NULL);</v>
      </c>
      <c r="I35"/>
    </row>
    <row r="36" spans="2:9" ht="13" customHeight="1" x14ac:dyDescent="0.35">
      <c r="B36" s="3">
        <v>7</v>
      </c>
      <c r="C36" s="3" t="s">
        <v>38</v>
      </c>
      <c r="D36" s="4">
        <v>1</v>
      </c>
      <c r="E36" s="4">
        <v>4</v>
      </c>
      <c r="F36" s="8" t="s">
        <v>73</v>
      </c>
      <c r="G36" s="8" t="s">
        <v>111</v>
      </c>
      <c r="H36" s="1" t="str">
        <f>+"INSERT INTO schema_db." &amp; $B$28 &amp; " " &amp;$H$29&amp;" VALUES('"&amp;C36&amp;"',"&amp;D36&amp;","&amp;E36&amp;","&amp;F36&amp;");"</f>
        <v>INSERT INTO schema_db.tokens (token,id_companies,id_user_categories,id_users) VALUES('$2a$10$GIroy45aYbOioOugKgCAMO7AUVE77HQNt/gwizaTtRtkxh8GPy67C',1,4,NULL);</v>
      </c>
      <c r="I36"/>
    </row>
    <row r="37" spans="2:9" ht="13" customHeight="1" x14ac:dyDescent="0.35">
      <c r="B37" s="3">
        <v>8</v>
      </c>
      <c r="C37" s="3" t="s">
        <v>39</v>
      </c>
      <c r="D37" s="4">
        <v>1</v>
      </c>
      <c r="E37" s="4">
        <v>4</v>
      </c>
      <c r="F37" s="8" t="s">
        <v>73</v>
      </c>
      <c r="G37" s="8" t="s">
        <v>111</v>
      </c>
      <c r="H37" s="1" t="str">
        <f>+"INSERT INTO schema_db." &amp; $B$28 &amp; " " &amp;$H$29&amp;" VALUES('"&amp;C37&amp;"',"&amp;D37&amp;","&amp;E37&amp;","&amp;F37&amp;");"</f>
        <v>INSERT INTO schema_db.tokens (token,id_companies,id_user_categories,id_users) VALUES('$2a$10$8NPWP.CiaBlovpVQEX8dTufckp3KxhZpqJj6/UCyt0X.w58kP1Ke2',1,4,NULL);</v>
      </c>
      <c r="I37"/>
    </row>
    <row r="38" spans="2:9" ht="13" customHeight="1" x14ac:dyDescent="0.35">
      <c r="B38" s="3">
        <v>9</v>
      </c>
      <c r="C38" s="3" t="s">
        <v>40</v>
      </c>
      <c r="D38" s="4">
        <v>4</v>
      </c>
      <c r="E38" s="9">
        <v>3</v>
      </c>
      <c r="F38" s="8" t="s">
        <v>73</v>
      </c>
      <c r="G38" s="8" t="s">
        <v>111</v>
      </c>
      <c r="H38" s="1" t="str">
        <f>+"INSERT INTO schema_db." &amp; $B$28 &amp; " " &amp;$H$29&amp;" VALUES('"&amp;C38&amp;"',"&amp;D38&amp;","&amp;E38&amp;","&amp;F38&amp;");"</f>
        <v>INSERT INTO schema_db.tokens (token,id_companies,id_user_categories,id_users) VALUES('$2a$10$IvDobQMfy.kbsoXK8qo.Wehob50g1KBu0yMLEbxwKOMfgyFbshNCe',4,3,NULL);</v>
      </c>
      <c r="I38"/>
    </row>
    <row r="39" spans="2:9" ht="13" customHeight="1" x14ac:dyDescent="0.35">
      <c r="B39" s="3">
        <v>10</v>
      </c>
      <c r="C39" s="3" t="s">
        <v>41</v>
      </c>
      <c r="D39" s="4">
        <v>5</v>
      </c>
      <c r="E39" s="4">
        <v>3</v>
      </c>
      <c r="F39" s="8" t="s">
        <v>73</v>
      </c>
      <c r="G39" s="8" t="s">
        <v>111</v>
      </c>
      <c r="H39" s="1" t="str">
        <f>+"INSERT INTO schema_db." &amp; $B$28 &amp; " " &amp;$H$29&amp;" VALUES('"&amp;C39&amp;"',"&amp;D39&amp;","&amp;E39&amp;","&amp;F39&amp;");"</f>
        <v>INSERT INTO schema_db.tokens (token,id_companies,id_user_categories,id_users) VALUES('$2a$10$FBnMJiicD2bAq9T1yLIlQOiHdKKEs0pfGWVJYOyM5LZ6f.kmFQHMa',5,3,NULL);</v>
      </c>
      <c r="I39"/>
    </row>
    <row r="40" spans="2:9" ht="13" customHeight="1" x14ac:dyDescent="0.35">
      <c r="B40" s="3">
        <v>11</v>
      </c>
      <c r="C40" s="3" t="s">
        <v>42</v>
      </c>
      <c r="D40" s="4">
        <v>4</v>
      </c>
      <c r="E40" s="4">
        <v>4</v>
      </c>
      <c r="F40" s="8" t="s">
        <v>73</v>
      </c>
      <c r="G40" s="8" t="s">
        <v>111</v>
      </c>
      <c r="H40" s="1" t="str">
        <f>+"INSERT INTO schema_db." &amp; $B$28 &amp; " " &amp;$H$29&amp;" VALUES('"&amp;C40&amp;"',"&amp;D40&amp;","&amp;E40&amp;","&amp;F40&amp;");"</f>
        <v>INSERT INTO schema_db.tokens (token,id_companies,id_user_categories,id_users) VALUES('$2a$10$lKnrrX81a3cC.f0OjxiBqOKKgwyypafzNkgYSbtC7uSghc4HVcTgS',4,4,NULL);</v>
      </c>
      <c r="I40"/>
    </row>
    <row r="41" spans="2:9" x14ac:dyDescent="0.25">
      <c r="B41" s="3">
        <v>12</v>
      </c>
      <c r="C41" s="5" t="s">
        <v>43</v>
      </c>
      <c r="D41" s="4">
        <v>5</v>
      </c>
      <c r="E41" s="4">
        <v>2</v>
      </c>
      <c r="F41" s="8" t="s">
        <v>73</v>
      </c>
      <c r="G41" s="8" t="s">
        <v>111</v>
      </c>
      <c r="H41" s="1" t="str">
        <f>+"INSERT INTO schema_db." &amp; $B$28 &amp; " " &amp;$H$29&amp;" VALUES('"&amp;C41&amp;"',"&amp;D41&amp;","&amp;E41&amp;","&amp;F41&amp;");"</f>
        <v>INSERT INTO schema_db.tokens (token,id_companies,id_user_categories,id_users) VALUES('$2a$10$Y5RL.6JIBjWbhCu9GhzK1efQVEapDVhgHD5pX0PAml4gv0jK0uBWS',5,2,NULL);</v>
      </c>
    </row>
    <row r="42" spans="2:9" x14ac:dyDescent="0.25">
      <c r="B42" s="3">
        <v>13</v>
      </c>
      <c r="C42" s="5" t="s">
        <v>44</v>
      </c>
      <c r="D42" s="4">
        <v>4</v>
      </c>
      <c r="E42" s="4">
        <v>2</v>
      </c>
      <c r="F42" s="8" t="s">
        <v>73</v>
      </c>
      <c r="G42" s="8" t="s">
        <v>111</v>
      </c>
      <c r="H42" s="1" t="str">
        <f>+"INSERT INTO schema_db." &amp; $B$28 &amp; " " &amp;$H$29&amp;" VALUES('"&amp;C42&amp;"',"&amp;D42&amp;","&amp;E42&amp;","&amp;F42&amp;");"</f>
        <v>INSERT INTO schema_db.tokens (token,id_companies,id_user_categories,id_users) VALUES('$2a$10$XCNQtm8A3v0pqZ9R0Tidb.4gW81fW8RLztaAewxQxnfJAKtOminqa',4,2,NULL);</v>
      </c>
    </row>
    <row r="43" spans="2:9" x14ac:dyDescent="0.25">
      <c r="B43" s="3">
        <v>14</v>
      </c>
      <c r="C43" s="5" t="s">
        <v>45</v>
      </c>
      <c r="D43" s="4">
        <v>5</v>
      </c>
      <c r="E43" s="4">
        <v>3</v>
      </c>
      <c r="F43" s="8" t="s">
        <v>73</v>
      </c>
      <c r="G43" s="8" t="s">
        <v>111</v>
      </c>
      <c r="H43" s="1" t="str">
        <f>+"INSERT INTO schema_db." &amp; $B$28 &amp; " " &amp;$H$29&amp;" VALUES('"&amp;C43&amp;"',"&amp;D43&amp;","&amp;E43&amp;","&amp;F43&amp;");"</f>
        <v>INSERT INTO schema_db.tokens (token,id_companies,id_user_categories,id_users) VALUES('$2a$10$MdnY.iTY3bRHrJ5uYn7SiOtqyoffo6BptG3jAuNIC4SMOLGRwWtSy',5,3,NULL);</v>
      </c>
    </row>
    <row r="44" spans="2:9" x14ac:dyDescent="0.25">
      <c r="B44" s="3">
        <v>15</v>
      </c>
      <c r="C44" s="5" t="s">
        <v>46</v>
      </c>
      <c r="D44" s="4">
        <v>4</v>
      </c>
      <c r="E44" s="4">
        <v>3</v>
      </c>
      <c r="F44" s="8" t="s">
        <v>73</v>
      </c>
      <c r="G44" s="8" t="s">
        <v>111</v>
      </c>
      <c r="H44" s="1" t="str">
        <f>+"INSERT INTO schema_db." &amp; $B$28 &amp; " " &amp;$H$29&amp;" VALUES('"&amp;C44&amp;"',"&amp;D44&amp;","&amp;E44&amp;","&amp;F44&amp;");"</f>
        <v>INSERT INTO schema_db.tokens (token,id_companies,id_user_categories,id_users) VALUES('$2a$10$sPc7TuWF8FlP0uJ86IeEk.4uDkKlJ5msviGY6KNwQB9CqP4o8PT1K',4,3,NULL);</v>
      </c>
    </row>
    <row r="45" spans="2:9" x14ac:dyDescent="0.25">
      <c r="B45" s="3">
        <v>16</v>
      </c>
      <c r="C45" s="5" t="s">
        <v>47</v>
      </c>
      <c r="D45" s="4">
        <v>5</v>
      </c>
      <c r="E45" s="4">
        <v>4</v>
      </c>
      <c r="F45" s="8" t="s">
        <v>73</v>
      </c>
      <c r="G45" s="8" t="s">
        <v>111</v>
      </c>
      <c r="H45" s="1" t="str">
        <f>+"INSERT INTO schema_db." &amp; $B$28 &amp; " " &amp;$H$29&amp;" VALUES('"&amp;C45&amp;"',"&amp;D45&amp;","&amp;E45&amp;","&amp;F45&amp;");"</f>
        <v>INSERT INTO schema_db.tokens (token,id_companies,id_user_categories,id_users) VALUES('$2a$10$8XVC0wVqAQ0Ot7kUTABDe.f7uMRmWBCM07tFbO6q/nrx2GPn/HCWO',5,4,NULL);</v>
      </c>
    </row>
    <row r="46" spans="2:9" x14ac:dyDescent="0.25">
      <c r="B46" s="3">
        <v>17</v>
      </c>
      <c r="C46" s="5" t="s">
        <v>48</v>
      </c>
      <c r="D46" s="4">
        <v>4</v>
      </c>
      <c r="E46" s="4">
        <v>4</v>
      </c>
      <c r="F46" s="8" t="s">
        <v>73</v>
      </c>
      <c r="G46" s="8" t="s">
        <v>111</v>
      </c>
      <c r="H46" s="1" t="str">
        <f>+"INSERT INTO schema_db." &amp; $B$28 &amp; " " &amp;$H$29&amp;" VALUES('"&amp;C46&amp;"',"&amp;D46&amp;","&amp;E46&amp;","&amp;F46&amp;");"</f>
        <v>INSERT INTO schema_db.tokens (token,id_companies,id_user_categories,id_users) VALUES('$2a$10$ArXX9t7PusIkdqXDfILOxeGVmdClJJOsi574JywD0RbgfwpJtk//.',4,4,NULL);</v>
      </c>
    </row>
    <row r="47" spans="2:9" x14ac:dyDescent="0.25">
      <c r="B47" s="3">
        <v>18</v>
      </c>
      <c r="C47" s="5" t="s">
        <v>49</v>
      </c>
      <c r="D47" s="4">
        <v>5</v>
      </c>
      <c r="E47" s="4">
        <v>2</v>
      </c>
      <c r="F47" s="8" t="s">
        <v>73</v>
      </c>
      <c r="G47" s="8" t="s">
        <v>111</v>
      </c>
      <c r="H47" s="1" t="str">
        <f>+"INSERT INTO schema_db." &amp; $B$28 &amp; " " &amp;$H$29&amp;" VALUES('"&amp;C47&amp;"',"&amp;D47&amp;","&amp;E47&amp;","&amp;F47&amp;");"</f>
        <v>INSERT INTO schema_db.tokens (token,id_companies,id_user_categories,id_users) VALUES('$2a$10$nHtVd0xHH7KOIHa.jTkLQuUI01K6v7o7JSRygB6fcpsRrfZa1.eWe',5,2,NULL);</v>
      </c>
    </row>
    <row r="48" spans="2:9" x14ac:dyDescent="0.25">
      <c r="B48" s="3">
        <v>19</v>
      </c>
      <c r="C48" s="5" t="s">
        <v>50</v>
      </c>
      <c r="D48" s="4">
        <v>4</v>
      </c>
      <c r="E48" s="4">
        <v>2</v>
      </c>
      <c r="F48" s="8" t="s">
        <v>73</v>
      </c>
      <c r="G48" s="8" t="s">
        <v>111</v>
      </c>
      <c r="H48" s="1" t="str">
        <f>+"INSERT INTO schema_db." &amp; $B$28 &amp; " " &amp;$H$29&amp;" VALUES('"&amp;C48&amp;"',"&amp;D48&amp;","&amp;E48&amp;","&amp;F48&amp;");"</f>
        <v>INSERT INTO schema_db.tokens (token,id_companies,id_user_categories,id_users) VALUES('$2a$10$SBy8vZ7tPVjfeHJ/Otgyjuaouib1lXb393TqIcZ.C/dVpt4RuvdyC',4,2,NULL);</v>
      </c>
    </row>
    <row r="49" spans="2:8" x14ac:dyDescent="0.25">
      <c r="B49" s="3">
        <v>20</v>
      </c>
      <c r="C49" s="5" t="s">
        <v>51</v>
      </c>
      <c r="D49" s="4">
        <v>5</v>
      </c>
      <c r="E49" s="4">
        <v>3</v>
      </c>
      <c r="F49" s="8" t="s">
        <v>73</v>
      </c>
      <c r="G49" s="8" t="s">
        <v>111</v>
      </c>
      <c r="H49" s="1" t="str">
        <f>+"INSERT INTO schema_db." &amp; $B$28 &amp; " " &amp;$H$29&amp;" VALUES('"&amp;C49&amp;"',"&amp;D49&amp;","&amp;E49&amp;","&amp;F49&amp;");"</f>
        <v>INSERT INTO schema_db.tokens (token,id_companies,id_user_categories,id_users) VALUES('$2a$10$Kp0x8/XodKF4m.xBb0EyR.wTyOvW2QI4DI6t282WJOcbYZ3m3cwxu',5,3,NULL);</v>
      </c>
    </row>
    <row r="50" spans="2:8" ht="14.5" x14ac:dyDescent="0.35">
      <c r="F50"/>
    </row>
    <row r="51" spans="2:8" x14ac:dyDescent="0.25">
      <c r="B51" s="1" t="s">
        <v>54</v>
      </c>
    </row>
    <row r="52" spans="2:8" x14ac:dyDescent="0.25">
      <c r="B52" s="2" t="s">
        <v>0</v>
      </c>
      <c r="C52" s="2" t="s">
        <v>55</v>
      </c>
      <c r="D52" s="2" t="s">
        <v>97</v>
      </c>
      <c r="E52" s="2" t="s">
        <v>110</v>
      </c>
      <c r="F52" s="1" t="str">
        <f>+"("&amp;C52&amp;")"</f>
        <v>(simulator)</v>
      </c>
    </row>
    <row r="53" spans="2:8" x14ac:dyDescent="0.25">
      <c r="B53" s="3">
        <v>1</v>
      </c>
      <c r="C53" s="4" t="s">
        <v>56</v>
      </c>
      <c r="D53" s="4" t="s">
        <v>98</v>
      </c>
      <c r="E53" s="4" t="s">
        <v>111</v>
      </c>
      <c r="F53" s="1" t="str">
        <f>+"INSERT INTO schema_db." &amp; $B$51 &amp; " " &amp;$F$52&amp;" VALUES('"&amp;C53&amp;"');"</f>
        <v>INSERT INTO schema_db.simulators (simulator) VALUES('simulator1');</v>
      </c>
    </row>
    <row r="54" spans="2:8" x14ac:dyDescent="0.25">
      <c r="B54" s="3">
        <v>2</v>
      </c>
      <c r="C54" s="4" t="s">
        <v>57</v>
      </c>
      <c r="D54" s="4" t="s">
        <v>99</v>
      </c>
      <c r="E54" s="4" t="s">
        <v>111</v>
      </c>
      <c r="F54" s="1" t="str">
        <f>+"INSERT INTO schema_db." &amp; $B$51 &amp; " " &amp;$F$52&amp;" VALUES('"&amp;C54&amp;"');"</f>
        <v>INSERT INTO schema_db.simulators (simulator) VALUES('simulator2');</v>
      </c>
    </row>
    <row r="55" spans="2:8" x14ac:dyDescent="0.25">
      <c r="B55" s="3">
        <v>3</v>
      </c>
      <c r="C55" s="4" t="s">
        <v>58</v>
      </c>
      <c r="D55" s="4" t="s">
        <v>100</v>
      </c>
      <c r="E55" s="4" t="s">
        <v>111</v>
      </c>
      <c r="F55" s="1" t="str">
        <f>+"INSERT INTO schema_db." &amp; $B$51 &amp; " " &amp;$F$52&amp;" VALUES('"&amp;C55&amp;"');"</f>
        <v>INSERT INTO schema_db.simulators (simulator) VALUES('simulator3');</v>
      </c>
    </row>
    <row r="56" spans="2:8" x14ac:dyDescent="0.25">
      <c r="B56" s="3">
        <v>4</v>
      </c>
      <c r="C56" s="4" t="s">
        <v>59</v>
      </c>
      <c r="D56" s="4" t="s">
        <v>101</v>
      </c>
      <c r="E56" s="4" t="s">
        <v>111</v>
      </c>
      <c r="F56" s="1" t="str">
        <f>+"INSERT INTO schema_db." &amp; $B$51 &amp; " " &amp;$F$52&amp;" VALUES('"&amp;C56&amp;"');"</f>
        <v>INSERT INTO schema_db.simulators (simulator) VALUES('simulator4');</v>
      </c>
    </row>
    <row r="57" spans="2:8" x14ac:dyDescent="0.25">
      <c r="B57" s="3">
        <v>5</v>
      </c>
      <c r="C57" s="4" t="s">
        <v>60</v>
      </c>
      <c r="D57" s="4" t="s">
        <v>102</v>
      </c>
      <c r="E57" s="4" t="s">
        <v>111</v>
      </c>
      <c r="F57" s="1" t="str">
        <f>+"INSERT INTO schema_db." &amp; $B$51 &amp; " " &amp;$F$52&amp;" VALUES('"&amp;C57&amp;"');"</f>
        <v>INSERT INTO schema_db.simulators (simulator) VALUES('simulator5');</v>
      </c>
    </row>
    <row r="58" spans="2:8" x14ac:dyDescent="0.25">
      <c r="B58" s="3">
        <v>6</v>
      </c>
      <c r="C58" s="4" t="s">
        <v>61</v>
      </c>
      <c r="D58" s="4" t="s">
        <v>103</v>
      </c>
      <c r="E58" s="4" t="s">
        <v>111</v>
      </c>
      <c r="F58" s="1" t="str">
        <f>+"INSERT INTO schema_db." &amp; $B$51 &amp; " " &amp;$F$52&amp;" VALUES('"&amp;C58&amp;"');"</f>
        <v>INSERT INTO schema_db.simulators (simulator) VALUES('simulator6');</v>
      </c>
    </row>
    <row r="60" spans="2:8" x14ac:dyDescent="0.25">
      <c r="B60" s="1" t="s">
        <v>62</v>
      </c>
    </row>
    <row r="61" spans="2:8" x14ac:dyDescent="0.25">
      <c r="B61" s="2" t="s">
        <v>0</v>
      </c>
      <c r="C61" s="2" t="s">
        <v>63</v>
      </c>
      <c r="D61" s="2" t="s">
        <v>112</v>
      </c>
      <c r="E61" s="2" t="s">
        <v>19</v>
      </c>
      <c r="F61" s="2" t="s">
        <v>110</v>
      </c>
      <c r="G61" s="1" t="str">
        <f>+"("&amp;C61&amp;","&amp;E61&amp;")"</f>
        <v>(course_name,id_companies)</v>
      </c>
    </row>
    <row r="62" spans="2:8" x14ac:dyDescent="0.25">
      <c r="B62" s="3">
        <v>1</v>
      </c>
      <c r="C62" s="4" t="s">
        <v>64</v>
      </c>
      <c r="D62" s="4" t="str">
        <f>+"description "&amp;C62</f>
        <v>description course1</v>
      </c>
      <c r="E62" s="4">
        <v>1</v>
      </c>
      <c r="F62" s="4" t="s">
        <v>111</v>
      </c>
      <c r="G62" s="1" t="str">
        <f>+"INSERT INTO schema_db." &amp; $B$60 &amp; " " &amp;$G$61&amp;" VALUES('"&amp;C62&amp;"',"&amp;E62&amp;");"</f>
        <v>INSERT INTO schema_db.courses (course_name,id_companies) VALUES('course1',1);</v>
      </c>
    </row>
    <row r="63" spans="2:8" x14ac:dyDescent="0.25">
      <c r="B63" s="3">
        <v>2</v>
      </c>
      <c r="C63" s="4" t="s">
        <v>65</v>
      </c>
      <c r="D63" s="4" t="str">
        <f t="shared" ref="D63:D66" si="3">+"description "&amp;C63</f>
        <v>description course2</v>
      </c>
      <c r="E63" s="4">
        <v>2</v>
      </c>
      <c r="F63" s="4" t="s">
        <v>111</v>
      </c>
      <c r="G63" s="1" t="str">
        <f>+"INSERT INTO schema_db." &amp; $B$60 &amp; " " &amp;$G$61&amp;" VALUES('"&amp;C63&amp;"',"&amp;E63&amp;");"</f>
        <v>INSERT INTO schema_db.courses (course_name,id_companies) VALUES('course2',2);</v>
      </c>
    </row>
    <row r="64" spans="2:8" x14ac:dyDescent="0.25">
      <c r="B64" s="3">
        <v>3</v>
      </c>
      <c r="C64" s="4" t="s">
        <v>66</v>
      </c>
      <c r="D64" s="4" t="str">
        <f t="shared" si="3"/>
        <v>description course3</v>
      </c>
      <c r="E64" s="4">
        <v>3</v>
      </c>
      <c r="F64" s="4" t="s">
        <v>111</v>
      </c>
      <c r="G64" s="1" t="str">
        <f>+"INSERT INTO schema_db." &amp; $B$60 &amp; " " &amp;$G$61&amp;" VALUES('"&amp;C64&amp;"',"&amp;E64&amp;");"</f>
        <v>INSERT INTO schema_db.courses (course_name,id_companies) VALUES('course3',3);</v>
      </c>
    </row>
    <row r="65" spans="2:9" x14ac:dyDescent="0.25">
      <c r="B65" s="3">
        <v>4</v>
      </c>
      <c r="C65" s="4" t="s">
        <v>67</v>
      </c>
      <c r="D65" s="4" t="str">
        <f t="shared" si="3"/>
        <v>description course4</v>
      </c>
      <c r="E65" s="4">
        <v>4</v>
      </c>
      <c r="F65" s="4" t="s">
        <v>111</v>
      </c>
      <c r="G65" s="1" t="str">
        <f>+"INSERT INTO schema_db." &amp; $B$60 &amp; " " &amp;$G$61&amp;" VALUES('"&amp;C65&amp;"',"&amp;E65&amp;");"</f>
        <v>INSERT INTO schema_db.courses (course_name,id_companies) VALUES('course4',4);</v>
      </c>
    </row>
    <row r="66" spans="2:9" x14ac:dyDescent="0.25">
      <c r="B66" s="3">
        <v>5</v>
      </c>
      <c r="C66" s="4" t="s">
        <v>68</v>
      </c>
      <c r="D66" s="4" t="str">
        <f t="shared" si="3"/>
        <v>description course5</v>
      </c>
      <c r="E66" s="4">
        <v>5</v>
      </c>
      <c r="F66" s="4" t="s">
        <v>111</v>
      </c>
      <c r="G66" s="1" t="str">
        <f>+"INSERT INTO schema_db." &amp; $B$60 &amp; " " &amp;$G$61&amp;" VALUES('"&amp;C66&amp;"',"&amp;E66&amp;");"</f>
        <v>INSERT INTO schema_db.courses (course_name,id_companies) VALUES('course5',5);</v>
      </c>
    </row>
    <row r="68" spans="2:9" x14ac:dyDescent="0.25">
      <c r="B68" s="1" t="s">
        <v>104</v>
      </c>
    </row>
    <row r="69" spans="2:9" x14ac:dyDescent="0.25">
      <c r="B69" s="2" t="s">
        <v>0</v>
      </c>
      <c r="C69" s="2" t="s">
        <v>69</v>
      </c>
      <c r="D69" s="2" t="s">
        <v>75</v>
      </c>
      <c r="E69" s="2" t="s">
        <v>76</v>
      </c>
      <c r="F69" s="2" t="s">
        <v>105</v>
      </c>
      <c r="G69" s="2" t="s">
        <v>71</v>
      </c>
      <c r="H69" s="2" t="s">
        <v>110</v>
      </c>
      <c r="I69" s="1" t="str">
        <f>+"("&amp;B69&amp;","&amp;C69&amp;","&amp;F69&amp;","&amp;G69&amp;","&amp;H69&amp;")"</f>
        <v>(id,id_courses,commission,id_teachers,enabled)</v>
      </c>
    </row>
    <row r="70" spans="2:9" x14ac:dyDescent="0.25">
      <c r="B70" s="3">
        <v>1</v>
      </c>
      <c r="C70" s="4">
        <v>1</v>
      </c>
      <c r="D70" s="10">
        <v>44927</v>
      </c>
      <c r="E70" s="10">
        <v>45108</v>
      </c>
      <c r="F70" s="4" t="s">
        <v>77</v>
      </c>
      <c r="G70" s="4">
        <v>5</v>
      </c>
      <c r="H70" s="8" t="s">
        <v>111</v>
      </c>
      <c r="I70" s="1" t="str">
        <f>+"INSERT INTO schema_db." &amp; $B$68 &amp; " " &amp;$J$69&amp;" VALUES("&amp;B70&amp;","&amp;C70&amp;","&amp;F70&amp;","&amp;G70&amp;",'"&amp;H70&amp;"');"</f>
        <v>INSERT INTO schema_db.course_commission  VALUES(1,1,#0010001,5,'true');</v>
      </c>
    </row>
    <row r="71" spans="2:9" x14ac:dyDescent="0.25">
      <c r="B71" s="3">
        <v>2</v>
      </c>
      <c r="C71" s="4">
        <v>1</v>
      </c>
      <c r="D71" s="10">
        <v>44958</v>
      </c>
      <c r="E71" s="10">
        <v>45139</v>
      </c>
      <c r="F71" s="4" t="s">
        <v>78</v>
      </c>
      <c r="G71" s="4">
        <v>5</v>
      </c>
      <c r="H71" s="8" t="s">
        <v>111</v>
      </c>
      <c r="I71" s="1" t="str">
        <f>+"INSERT INTO schema_db." &amp; $B$68 &amp; " " &amp;$J$69&amp;" VALUES("&amp;B71&amp;","&amp;C71&amp;","&amp;F71&amp;","&amp;G71&amp;",'"&amp;H71&amp;"');"</f>
        <v>INSERT INTO schema_db.course_commission  VALUES(2,1,#0010002,5,'true');</v>
      </c>
    </row>
    <row r="72" spans="2:9" x14ac:dyDescent="0.25">
      <c r="B72" s="3">
        <v>3</v>
      </c>
      <c r="C72" s="4">
        <v>1</v>
      </c>
      <c r="D72" s="10">
        <v>44986</v>
      </c>
      <c r="E72" s="10">
        <v>45047</v>
      </c>
      <c r="F72" s="4" t="s">
        <v>79</v>
      </c>
      <c r="G72" s="4">
        <v>5</v>
      </c>
      <c r="H72" s="8" t="s">
        <v>111</v>
      </c>
      <c r="I72" s="1" t="str">
        <f>+"INSERT INTO schema_db." &amp; $B$68 &amp; " " &amp;$J$69&amp;" VALUES("&amp;B72&amp;","&amp;C72&amp;","&amp;F72&amp;","&amp;G72&amp;",'"&amp;H72&amp;"');"</f>
        <v>INSERT INTO schema_db.course_commission  VALUES(3,1,#0010003,5,'true');</v>
      </c>
    </row>
    <row r="73" spans="2:9" x14ac:dyDescent="0.25">
      <c r="B73" s="3">
        <v>4</v>
      </c>
      <c r="C73" s="4">
        <v>1</v>
      </c>
      <c r="D73" s="10">
        <v>45047</v>
      </c>
      <c r="E73" s="10">
        <v>45139</v>
      </c>
      <c r="F73" s="4" t="s">
        <v>80</v>
      </c>
      <c r="G73" s="4">
        <v>5</v>
      </c>
      <c r="H73" s="8" t="s">
        <v>111</v>
      </c>
      <c r="I73" s="1" t="str">
        <f>+"INSERT INTO schema_db." &amp; $B$68 &amp; " " &amp;$J$69&amp;" VALUES("&amp;B73&amp;","&amp;C73&amp;","&amp;F73&amp;","&amp;G73&amp;",'"&amp;H73&amp;"');"</f>
        <v>INSERT INTO schema_db.course_commission  VALUES(4,1,#0010004,5,'true');</v>
      </c>
    </row>
    <row r="74" spans="2:9" x14ac:dyDescent="0.25">
      <c r="B74" s="3">
        <v>5</v>
      </c>
      <c r="C74" s="4">
        <v>2</v>
      </c>
      <c r="D74" s="10">
        <v>44927</v>
      </c>
      <c r="E74" s="10">
        <v>45108</v>
      </c>
      <c r="F74" s="4" t="s">
        <v>81</v>
      </c>
      <c r="G74" s="4">
        <v>5</v>
      </c>
      <c r="H74" s="8" t="s">
        <v>111</v>
      </c>
      <c r="I74" s="1" t="str">
        <f>+"INSERT INTO schema_db." &amp; $B$68 &amp; " " &amp;$J$69&amp;" VALUES("&amp;B74&amp;","&amp;C74&amp;","&amp;F74&amp;","&amp;G74&amp;",'"&amp;H74&amp;"');"</f>
        <v>INSERT INTO schema_db.course_commission  VALUES(5,2,#0020001,5,'true');</v>
      </c>
    </row>
    <row r="75" spans="2:9" x14ac:dyDescent="0.25">
      <c r="B75" s="3">
        <v>6</v>
      </c>
      <c r="C75" s="4">
        <v>2</v>
      </c>
      <c r="D75" s="10">
        <v>44958</v>
      </c>
      <c r="E75" s="10">
        <v>45139</v>
      </c>
      <c r="F75" s="4" t="s">
        <v>82</v>
      </c>
      <c r="G75" s="4">
        <v>6</v>
      </c>
      <c r="H75" s="8" t="s">
        <v>111</v>
      </c>
      <c r="I75" s="1" t="str">
        <f>+"INSERT INTO schema_db." &amp; $B$68 &amp; " " &amp;$J$69&amp;" VALUES("&amp;B75&amp;","&amp;C75&amp;","&amp;F75&amp;","&amp;G75&amp;",'"&amp;H75&amp;"');"</f>
        <v>INSERT INTO schema_db.course_commission  VALUES(6,2,#0020002,6,'true');</v>
      </c>
    </row>
    <row r="76" spans="2:9" x14ac:dyDescent="0.25">
      <c r="B76" s="3">
        <v>7</v>
      </c>
      <c r="C76" s="4">
        <v>2</v>
      </c>
      <c r="D76" s="10">
        <v>44986</v>
      </c>
      <c r="E76" s="10">
        <v>45047</v>
      </c>
      <c r="F76" s="4" t="s">
        <v>83</v>
      </c>
      <c r="G76" s="4">
        <v>6</v>
      </c>
      <c r="H76" s="8" t="s">
        <v>111</v>
      </c>
      <c r="I76" s="1" t="str">
        <f>+"INSERT INTO schema_db." &amp; $B$68 &amp; " " &amp;$J$69&amp;" VALUES("&amp;B76&amp;","&amp;C76&amp;","&amp;F76&amp;","&amp;G76&amp;",'"&amp;H76&amp;"');"</f>
        <v>INSERT INTO schema_db.course_commission  VALUES(7,2,#0020003,6,'true');</v>
      </c>
    </row>
    <row r="77" spans="2:9" x14ac:dyDescent="0.25">
      <c r="B77" s="3">
        <v>8</v>
      </c>
      <c r="C77" s="4">
        <v>2</v>
      </c>
      <c r="D77" s="10">
        <v>45047</v>
      </c>
      <c r="E77" s="10">
        <v>45139</v>
      </c>
      <c r="F77" s="4" t="s">
        <v>84</v>
      </c>
      <c r="G77" s="4">
        <v>6</v>
      </c>
      <c r="H77" s="8" t="s">
        <v>111</v>
      </c>
      <c r="I77" s="1" t="str">
        <f>+"INSERT INTO schema_db." &amp; $B$68 &amp; " " &amp;$J$69&amp;" VALUES("&amp;B77&amp;","&amp;C77&amp;","&amp;F77&amp;","&amp;G77&amp;",'"&amp;H77&amp;"');"</f>
        <v>INSERT INTO schema_db.course_commission  VALUES(8,2,#0020004,6,'true');</v>
      </c>
    </row>
    <row r="78" spans="2:9" x14ac:dyDescent="0.25">
      <c r="B78" s="3">
        <v>9</v>
      </c>
      <c r="C78" s="4">
        <v>3</v>
      </c>
      <c r="D78" s="10">
        <v>44927</v>
      </c>
      <c r="E78" s="10">
        <v>45108</v>
      </c>
      <c r="F78" s="4" t="s">
        <v>85</v>
      </c>
      <c r="G78" s="4">
        <v>6</v>
      </c>
      <c r="H78" s="8" t="s">
        <v>111</v>
      </c>
      <c r="I78" s="1" t="str">
        <f>+"INSERT INTO schema_db." &amp; $B$68 &amp; " " &amp;$J$69&amp;" VALUES("&amp;B78&amp;","&amp;C78&amp;","&amp;F78&amp;","&amp;G78&amp;",'"&amp;H78&amp;"');"</f>
        <v>INSERT INTO schema_db.course_commission  VALUES(9,3,#0030001,6,'true');</v>
      </c>
    </row>
    <row r="79" spans="2:9" x14ac:dyDescent="0.25">
      <c r="B79" s="3">
        <v>10</v>
      </c>
      <c r="C79" s="4">
        <v>3</v>
      </c>
      <c r="D79" s="10">
        <v>44958</v>
      </c>
      <c r="E79" s="10">
        <v>45139</v>
      </c>
      <c r="F79" s="4" t="s">
        <v>86</v>
      </c>
      <c r="G79" s="4">
        <v>5</v>
      </c>
      <c r="H79" s="8" t="s">
        <v>111</v>
      </c>
      <c r="I79" s="1" t="str">
        <f>+"INSERT INTO schema_db." &amp; $B$68 &amp; " " &amp;$J$69&amp;" VALUES("&amp;B79&amp;","&amp;C79&amp;","&amp;F79&amp;","&amp;G79&amp;",'"&amp;H79&amp;"');"</f>
        <v>INSERT INTO schema_db.course_commission  VALUES(10,3,#0030002,5,'true');</v>
      </c>
    </row>
    <row r="80" spans="2:9" x14ac:dyDescent="0.25">
      <c r="B80" s="3">
        <v>11</v>
      </c>
      <c r="C80" s="4">
        <v>3</v>
      </c>
      <c r="D80" s="10">
        <v>44986</v>
      </c>
      <c r="E80" s="10">
        <v>45047</v>
      </c>
      <c r="F80" s="4" t="s">
        <v>87</v>
      </c>
      <c r="G80" s="4">
        <v>5</v>
      </c>
      <c r="H80" s="8" t="s">
        <v>111</v>
      </c>
      <c r="I80" s="1" t="str">
        <f>+"INSERT INTO schema_db." &amp; $B$68 &amp; " " &amp;$J$69&amp;" VALUES("&amp;B80&amp;","&amp;C80&amp;","&amp;F80&amp;","&amp;G80&amp;",'"&amp;H80&amp;"');"</f>
        <v>INSERT INTO schema_db.course_commission  VALUES(11,3,#0030003,5,'true');</v>
      </c>
    </row>
    <row r="81" spans="2:9" x14ac:dyDescent="0.25">
      <c r="B81" s="3">
        <v>12</v>
      </c>
      <c r="C81" s="4">
        <v>3</v>
      </c>
      <c r="D81" s="10">
        <v>45047</v>
      </c>
      <c r="E81" s="10">
        <v>45139</v>
      </c>
      <c r="F81" s="4" t="s">
        <v>88</v>
      </c>
      <c r="G81" s="4">
        <v>5</v>
      </c>
      <c r="H81" s="8" t="s">
        <v>111</v>
      </c>
      <c r="I81" s="1" t="str">
        <f>+"INSERT INTO schema_db." &amp; $B$68 &amp; " " &amp;$J$69&amp;" VALUES("&amp;B81&amp;","&amp;C81&amp;","&amp;F81&amp;","&amp;G81&amp;",'"&amp;H81&amp;"');"</f>
        <v>INSERT INTO schema_db.course_commission  VALUES(12,3,#0030004,5,'true');</v>
      </c>
    </row>
    <row r="82" spans="2:9" x14ac:dyDescent="0.25">
      <c r="B82" s="3">
        <v>13</v>
      </c>
      <c r="C82" s="4">
        <v>4</v>
      </c>
      <c r="D82" s="10">
        <v>44927</v>
      </c>
      <c r="E82" s="10">
        <v>45108</v>
      </c>
      <c r="F82" s="4" t="s">
        <v>89</v>
      </c>
      <c r="G82" s="4">
        <v>5</v>
      </c>
      <c r="H82" s="8" t="s">
        <v>111</v>
      </c>
      <c r="I82" s="1" t="str">
        <f>+"INSERT INTO schema_db." &amp; $B$68 &amp; " " &amp;$J$69&amp;" VALUES("&amp;B82&amp;","&amp;C82&amp;","&amp;F82&amp;","&amp;G82&amp;",'"&amp;H82&amp;"');"</f>
        <v>INSERT INTO schema_db.course_commission  VALUES(13,4,#0040001,5,'true');</v>
      </c>
    </row>
    <row r="83" spans="2:9" x14ac:dyDescent="0.25">
      <c r="B83" s="3">
        <v>14</v>
      </c>
      <c r="C83" s="4">
        <v>4</v>
      </c>
      <c r="D83" s="10">
        <v>44958</v>
      </c>
      <c r="E83" s="10">
        <v>45139</v>
      </c>
      <c r="F83" s="4" t="s">
        <v>90</v>
      </c>
      <c r="G83" s="4">
        <v>5</v>
      </c>
      <c r="H83" s="8" t="s">
        <v>111</v>
      </c>
      <c r="I83" s="1" t="str">
        <f>+"INSERT INTO schema_db." &amp; $B$68 &amp; " " &amp;$J$69&amp;" VALUES("&amp;B83&amp;","&amp;C83&amp;","&amp;F83&amp;","&amp;G83&amp;",'"&amp;H83&amp;"');"</f>
        <v>INSERT INTO schema_db.course_commission  VALUES(14,4,#0040002,5,'true');</v>
      </c>
    </row>
    <row r="84" spans="2:9" x14ac:dyDescent="0.25">
      <c r="B84" s="3">
        <v>15</v>
      </c>
      <c r="C84" s="4">
        <v>4</v>
      </c>
      <c r="D84" s="10">
        <v>44986</v>
      </c>
      <c r="E84" s="10">
        <v>45047</v>
      </c>
      <c r="F84" s="4" t="s">
        <v>91</v>
      </c>
      <c r="G84" s="4">
        <v>6</v>
      </c>
      <c r="H84" s="8" t="s">
        <v>111</v>
      </c>
      <c r="I84" s="1" t="str">
        <f>+"INSERT INTO schema_db." &amp; $B$68 &amp; " " &amp;$J$69&amp;" VALUES("&amp;B84&amp;","&amp;C84&amp;","&amp;F84&amp;","&amp;G84&amp;",'"&amp;H84&amp;"');"</f>
        <v>INSERT INTO schema_db.course_commission  VALUES(15,4,#0040003,6,'true');</v>
      </c>
    </row>
    <row r="85" spans="2:9" x14ac:dyDescent="0.25">
      <c r="B85" s="3">
        <v>16</v>
      </c>
      <c r="C85" s="4">
        <v>4</v>
      </c>
      <c r="D85" s="10">
        <v>45047</v>
      </c>
      <c r="E85" s="10">
        <v>45139</v>
      </c>
      <c r="F85" s="4" t="s">
        <v>92</v>
      </c>
      <c r="G85" s="4">
        <v>6</v>
      </c>
      <c r="H85" s="8" t="s">
        <v>111</v>
      </c>
      <c r="I85" s="1" t="str">
        <f>+"INSERT INTO schema_db." &amp; $B$68 &amp; " " &amp;$J$69&amp;" VALUES("&amp;B85&amp;","&amp;C85&amp;","&amp;F85&amp;","&amp;G85&amp;",'"&amp;H85&amp;"');"</f>
        <v>INSERT INTO schema_db.course_commission  VALUES(16,4,#0040004,6,'true');</v>
      </c>
    </row>
    <row r="86" spans="2:9" x14ac:dyDescent="0.25">
      <c r="B86" s="3">
        <v>17</v>
      </c>
      <c r="C86" s="4">
        <v>5</v>
      </c>
      <c r="D86" s="10">
        <v>44927</v>
      </c>
      <c r="E86" s="10">
        <v>45108</v>
      </c>
      <c r="F86" s="4" t="s">
        <v>93</v>
      </c>
      <c r="G86" s="4">
        <v>6</v>
      </c>
      <c r="H86" s="8" t="s">
        <v>111</v>
      </c>
      <c r="I86" s="1" t="str">
        <f>+"INSERT INTO schema_db." &amp; $B$68 &amp; " " &amp;$J$69&amp;" VALUES("&amp;B86&amp;","&amp;C86&amp;","&amp;F86&amp;","&amp;G86&amp;",'"&amp;H86&amp;"');"</f>
        <v>INSERT INTO schema_db.course_commission  VALUES(17,5,#0050001,6,'true');</v>
      </c>
    </row>
    <row r="87" spans="2:9" x14ac:dyDescent="0.25">
      <c r="B87" s="3">
        <v>18</v>
      </c>
      <c r="C87" s="4">
        <v>5</v>
      </c>
      <c r="D87" s="10">
        <v>44958</v>
      </c>
      <c r="E87" s="10">
        <v>45139</v>
      </c>
      <c r="F87" s="4" t="s">
        <v>94</v>
      </c>
      <c r="G87" s="4">
        <v>6</v>
      </c>
      <c r="H87" s="8" t="s">
        <v>111</v>
      </c>
      <c r="I87" s="1" t="str">
        <f>+"INSERT INTO schema_db." &amp; $B$68 &amp; " " &amp;$J$69&amp;" VALUES("&amp;B87&amp;","&amp;C87&amp;","&amp;F87&amp;","&amp;G87&amp;",'"&amp;H87&amp;"');"</f>
        <v>INSERT INTO schema_db.course_commission  VALUES(18,5,#0050002,6,'true');</v>
      </c>
    </row>
    <row r="88" spans="2:9" x14ac:dyDescent="0.25">
      <c r="B88" s="3">
        <v>19</v>
      </c>
      <c r="C88" s="4">
        <v>5</v>
      </c>
      <c r="D88" s="10">
        <v>44986</v>
      </c>
      <c r="E88" s="10">
        <v>45047</v>
      </c>
      <c r="F88" s="4" t="s">
        <v>95</v>
      </c>
      <c r="G88" s="4">
        <v>5</v>
      </c>
      <c r="H88" s="8" t="s">
        <v>111</v>
      </c>
      <c r="I88" s="1" t="str">
        <f>+"INSERT INTO schema_db." &amp; $B$68 &amp; " " &amp;$J$69&amp;" VALUES("&amp;B88&amp;","&amp;C88&amp;","&amp;F88&amp;","&amp;G88&amp;",'"&amp;H88&amp;"');"</f>
        <v>INSERT INTO schema_db.course_commission  VALUES(19,5,#0050003,5,'true');</v>
      </c>
    </row>
    <row r="89" spans="2:9" x14ac:dyDescent="0.25">
      <c r="B89" s="3">
        <v>20</v>
      </c>
      <c r="C89" s="4">
        <v>5</v>
      </c>
      <c r="D89" s="10">
        <v>45047</v>
      </c>
      <c r="E89" s="10">
        <v>45139</v>
      </c>
      <c r="F89" s="4" t="s">
        <v>96</v>
      </c>
      <c r="G89" s="4">
        <v>5</v>
      </c>
      <c r="H89" s="8" t="s">
        <v>111</v>
      </c>
      <c r="I89" s="1" t="str">
        <f>+"INSERT INTO schema_db." &amp; $B$68 &amp; " " &amp;$J$69&amp;" VALUES("&amp;B89&amp;","&amp;C89&amp;","&amp;F89&amp;","&amp;G89&amp;",'"&amp;H89&amp;"');"</f>
        <v>INSERT INTO schema_db.course_commission  VALUES(20,5,#0050004,5,'true');</v>
      </c>
    </row>
    <row r="91" spans="2:9" x14ac:dyDescent="0.25">
      <c r="B91" s="1" t="s">
        <v>116</v>
      </c>
    </row>
    <row r="92" spans="2:9" x14ac:dyDescent="0.25">
      <c r="B92" s="2" t="s">
        <v>0</v>
      </c>
      <c r="C92" s="2" t="s">
        <v>69</v>
      </c>
      <c r="D92" s="2" t="s">
        <v>70</v>
      </c>
      <c r="E92" s="2" t="s">
        <v>115</v>
      </c>
      <c r="F92" s="1" t="str">
        <f>+"("&amp;C92&amp;","&amp;D92&amp;")"</f>
        <v>(id_courses,id_simulators)</v>
      </c>
    </row>
    <row r="93" spans="2:9" x14ac:dyDescent="0.25">
      <c r="B93" s="3">
        <v>1</v>
      </c>
      <c r="C93" s="4">
        <v>1</v>
      </c>
      <c r="D93" s="4">
        <v>1</v>
      </c>
      <c r="E93" s="4"/>
      <c r="F93" s="1" t="str">
        <f>+"INSERT INTO schema_db." &amp; $B$91 &amp; " " &amp;$F$92&amp;" VALUES('"&amp;C93&amp;"',"&amp;D93&amp;");"</f>
        <v>INSERT INTO schema_db.course_simulators_exercises (id_courses,id_simulators) VALUES('1',1);</v>
      </c>
    </row>
    <row r="94" spans="2:9" x14ac:dyDescent="0.25">
      <c r="B94" s="3">
        <v>2</v>
      </c>
      <c r="C94" s="4">
        <v>1</v>
      </c>
      <c r="D94" s="4">
        <v>2</v>
      </c>
      <c r="E94" s="4"/>
      <c r="F94" s="1" t="str">
        <f>+"INSERT INTO schema_db." &amp; $B$91 &amp; " " &amp;$F$92&amp;" VALUES('"&amp;C94&amp;"',"&amp;D94&amp;");"</f>
        <v>INSERT INTO schema_db.course_simulators_exercises (id_courses,id_simulators) VALUES('1',2);</v>
      </c>
    </row>
    <row r="95" spans="2:9" x14ac:dyDescent="0.25">
      <c r="B95" s="3">
        <v>3</v>
      </c>
      <c r="C95" s="4">
        <v>1</v>
      </c>
      <c r="D95" s="4">
        <v>3</v>
      </c>
      <c r="E95" s="4"/>
      <c r="F95" s="1" t="str">
        <f>+"INSERT INTO schema_db." &amp; $B$91 &amp; " " &amp;$F$92&amp;" VALUES('"&amp;C95&amp;"',"&amp;D95&amp;");"</f>
        <v>INSERT INTO schema_db.course_simulators_exercises (id_courses,id_simulators) VALUES('1',3);</v>
      </c>
    </row>
    <row r="96" spans="2:9" x14ac:dyDescent="0.25">
      <c r="B96" s="3">
        <v>4</v>
      </c>
      <c r="C96" s="4">
        <v>1</v>
      </c>
      <c r="D96" s="4">
        <v>4</v>
      </c>
      <c r="E96" s="4"/>
      <c r="F96" s="1" t="str">
        <f>+"INSERT INTO schema_db." &amp; $B$91 &amp; " " &amp;$F$92&amp;" VALUES('"&amp;C96&amp;"',"&amp;D96&amp;");"</f>
        <v>INSERT INTO schema_db.course_simulators_exercises (id_courses,id_simulators) VALUES('1',4);</v>
      </c>
    </row>
    <row r="97" spans="2:6" x14ac:dyDescent="0.25">
      <c r="B97" s="3">
        <v>5</v>
      </c>
      <c r="C97" s="4">
        <v>2</v>
      </c>
      <c r="D97" s="4">
        <v>5</v>
      </c>
      <c r="E97" s="4"/>
      <c r="F97" s="1" t="str">
        <f>+"INSERT INTO schema_db." &amp; $B$91 &amp; " " &amp;$F$92&amp;" VALUES('"&amp;C97&amp;"',"&amp;D97&amp;");"</f>
        <v>INSERT INTO schema_db.course_simulators_exercises (id_courses,id_simulators) VALUES('2',5);</v>
      </c>
    </row>
    <row r="98" spans="2:6" x14ac:dyDescent="0.25">
      <c r="B98" s="3">
        <v>6</v>
      </c>
      <c r="C98" s="4">
        <v>2</v>
      </c>
      <c r="D98" s="4">
        <v>6</v>
      </c>
      <c r="E98" s="4"/>
      <c r="F98" s="1" t="str">
        <f>+"INSERT INTO schema_db." &amp; $B$91 &amp; " " &amp;$F$92&amp;" VALUES('"&amp;C98&amp;"',"&amp;D98&amp;");"</f>
        <v>INSERT INTO schema_db.course_simulators_exercises (id_courses,id_simulators) VALUES('2',6);</v>
      </c>
    </row>
    <row r="99" spans="2:6" x14ac:dyDescent="0.25">
      <c r="B99" s="3">
        <v>7</v>
      </c>
      <c r="C99" s="4">
        <v>2</v>
      </c>
      <c r="D99" s="4">
        <v>1</v>
      </c>
      <c r="E99" s="4"/>
      <c r="F99" s="1" t="str">
        <f>+"INSERT INTO schema_db." &amp; $B$91 &amp; " " &amp;$F$92&amp;" VALUES('"&amp;C99&amp;"',"&amp;D99&amp;");"</f>
        <v>INSERT INTO schema_db.course_simulators_exercises (id_courses,id_simulators) VALUES('2',1);</v>
      </c>
    </row>
    <row r="100" spans="2:6" x14ac:dyDescent="0.25">
      <c r="B100" s="3">
        <v>8</v>
      </c>
      <c r="C100" s="4">
        <v>2</v>
      </c>
      <c r="D100" s="4">
        <v>2</v>
      </c>
      <c r="E100" s="4"/>
      <c r="F100" s="1" t="str">
        <f>+"INSERT INTO schema_db." &amp; $B$91 &amp; " " &amp;$F$92&amp;" VALUES('"&amp;C100&amp;"',"&amp;D100&amp;");"</f>
        <v>INSERT INTO schema_db.course_simulators_exercises (id_courses,id_simulators) VALUES('2',2);</v>
      </c>
    </row>
    <row r="101" spans="2:6" x14ac:dyDescent="0.25">
      <c r="B101" s="3">
        <v>9</v>
      </c>
      <c r="C101" s="4">
        <v>3</v>
      </c>
      <c r="D101" s="4">
        <v>3</v>
      </c>
      <c r="E101" s="4"/>
      <c r="F101" s="1" t="str">
        <f>+"INSERT INTO schema_db." &amp; $B$91 &amp; " " &amp;$F$92&amp;" VALUES('"&amp;C101&amp;"',"&amp;D101&amp;");"</f>
        <v>INSERT INTO schema_db.course_simulators_exercises (id_courses,id_simulators) VALUES('3',3);</v>
      </c>
    </row>
    <row r="102" spans="2:6" x14ac:dyDescent="0.25">
      <c r="B102" s="3">
        <v>10</v>
      </c>
      <c r="C102" s="4">
        <v>3</v>
      </c>
      <c r="D102" s="4">
        <v>4</v>
      </c>
      <c r="E102" s="4"/>
      <c r="F102" s="1" t="str">
        <f>+"INSERT INTO schema_db." &amp; $B$91 &amp; " " &amp;$F$92&amp;" VALUES('"&amp;C102&amp;"',"&amp;D102&amp;");"</f>
        <v>INSERT INTO schema_db.course_simulators_exercises (id_courses,id_simulators) VALUES('3',4);</v>
      </c>
    </row>
    <row r="103" spans="2:6" x14ac:dyDescent="0.25">
      <c r="B103" s="3">
        <v>11</v>
      </c>
      <c r="C103" s="4">
        <v>3</v>
      </c>
      <c r="D103" s="4">
        <v>5</v>
      </c>
      <c r="E103" s="4"/>
      <c r="F103" s="1" t="str">
        <f>+"INSERT INTO schema_db." &amp; $B$91 &amp; " " &amp;$F$92&amp;" VALUES('"&amp;C103&amp;"',"&amp;D103&amp;");"</f>
        <v>INSERT INTO schema_db.course_simulators_exercises (id_courses,id_simulators) VALUES('3',5);</v>
      </c>
    </row>
    <row r="104" spans="2:6" x14ac:dyDescent="0.25">
      <c r="B104" s="3">
        <v>12</v>
      </c>
      <c r="C104" s="4">
        <v>3</v>
      </c>
      <c r="D104" s="4">
        <v>6</v>
      </c>
      <c r="E104" s="4"/>
      <c r="F104" s="1" t="str">
        <f>+"INSERT INTO schema_db." &amp; $B$91 &amp; " " &amp;$F$92&amp;" VALUES('"&amp;C104&amp;"',"&amp;D104&amp;");"</f>
        <v>INSERT INTO schema_db.course_simulators_exercises (id_courses,id_simulators) VALUES('3',6);</v>
      </c>
    </row>
    <row r="105" spans="2:6" x14ac:dyDescent="0.25">
      <c r="B105" s="3">
        <v>13</v>
      </c>
      <c r="C105" s="4">
        <v>4</v>
      </c>
      <c r="D105" s="4">
        <v>1</v>
      </c>
      <c r="E105" s="4"/>
      <c r="F105" s="1" t="str">
        <f>+"INSERT INTO schema_db." &amp; $B$91 &amp; " " &amp;$F$92&amp;" VALUES('"&amp;C105&amp;"',"&amp;D105&amp;");"</f>
        <v>INSERT INTO schema_db.course_simulators_exercises (id_courses,id_simulators) VALUES('4',1);</v>
      </c>
    </row>
    <row r="106" spans="2:6" x14ac:dyDescent="0.25">
      <c r="B106" s="3">
        <v>14</v>
      </c>
      <c r="C106" s="4">
        <v>4</v>
      </c>
      <c r="D106" s="4">
        <v>2</v>
      </c>
      <c r="E106" s="4"/>
      <c r="F106" s="1" t="str">
        <f>+"INSERT INTO schema_db." &amp; $B$91 &amp; " " &amp;$F$92&amp;" VALUES('"&amp;C106&amp;"',"&amp;D106&amp;");"</f>
        <v>INSERT INTO schema_db.course_simulators_exercises (id_courses,id_simulators) VALUES('4',2);</v>
      </c>
    </row>
    <row r="107" spans="2:6" x14ac:dyDescent="0.25">
      <c r="B107" s="3">
        <v>15</v>
      </c>
      <c r="C107" s="4">
        <v>4</v>
      </c>
      <c r="D107" s="4">
        <v>3</v>
      </c>
      <c r="E107" s="4"/>
      <c r="F107" s="1" t="str">
        <f>+"INSERT INTO schema_db." &amp; $B$91 &amp; " " &amp;$F$92&amp;" VALUES('"&amp;C107&amp;"',"&amp;D107&amp;");"</f>
        <v>INSERT INTO schema_db.course_simulators_exercises (id_courses,id_simulators) VALUES('4',3);</v>
      </c>
    </row>
    <row r="108" spans="2:6" x14ac:dyDescent="0.25">
      <c r="B108" s="3">
        <v>16</v>
      </c>
      <c r="C108" s="4">
        <v>4</v>
      </c>
      <c r="D108" s="4">
        <v>4</v>
      </c>
      <c r="E108" s="4"/>
      <c r="F108" s="1" t="str">
        <f>+"INSERT INTO schema_db." &amp; $B$91 &amp; " " &amp;$F$92&amp;" VALUES('"&amp;C108&amp;"',"&amp;D108&amp;");"</f>
        <v>INSERT INTO schema_db.course_simulators_exercises (id_courses,id_simulators) VALUES('4',4);</v>
      </c>
    </row>
    <row r="109" spans="2:6" x14ac:dyDescent="0.25">
      <c r="B109" s="3">
        <v>17</v>
      </c>
      <c r="C109" s="4">
        <v>5</v>
      </c>
      <c r="D109" s="4">
        <v>5</v>
      </c>
      <c r="E109" s="4"/>
      <c r="F109" s="1" t="str">
        <f>+"INSERT INTO schema_db." &amp; $B$91 &amp; " " &amp;$F$92&amp;" VALUES('"&amp;C109&amp;"',"&amp;D109&amp;");"</f>
        <v>INSERT INTO schema_db.course_simulators_exercises (id_courses,id_simulators) VALUES('5',5);</v>
      </c>
    </row>
    <row r="110" spans="2:6" x14ac:dyDescent="0.25">
      <c r="B110" s="3">
        <v>18</v>
      </c>
      <c r="C110" s="4">
        <v>5</v>
      </c>
      <c r="D110" s="4">
        <v>6</v>
      </c>
      <c r="E110" s="4"/>
      <c r="F110" s="1" t="str">
        <f>+"INSERT INTO schema_db." &amp; $B$91 &amp; " " &amp;$F$92&amp;" VALUES('"&amp;C110&amp;"',"&amp;D110&amp;");"</f>
        <v>INSERT INTO schema_db.course_simulators_exercises (id_courses,id_simulators) VALUES('5',6);</v>
      </c>
    </row>
    <row r="111" spans="2:6" x14ac:dyDescent="0.25">
      <c r="B111" s="3">
        <v>19</v>
      </c>
      <c r="C111" s="4">
        <v>5</v>
      </c>
      <c r="D111" s="4">
        <v>1</v>
      </c>
      <c r="E111" s="4"/>
      <c r="F111" s="1" t="str">
        <f>+"INSERT INTO schema_db." &amp; $B$91 &amp; " " &amp;$F$92&amp;" VALUES('"&amp;C111&amp;"',"&amp;D111&amp;");"</f>
        <v>INSERT INTO schema_db.course_simulators_exercises (id_courses,id_simulators) VALUES('5',1);</v>
      </c>
    </row>
    <row r="112" spans="2:6" x14ac:dyDescent="0.25">
      <c r="B112" s="3">
        <v>20</v>
      </c>
      <c r="C112" s="4">
        <v>5</v>
      </c>
      <c r="D112" s="4">
        <v>2</v>
      </c>
      <c r="E112" s="4"/>
      <c r="F112" s="1" t="str">
        <f>+"INSERT INTO schema_db." &amp; $B$91 &amp; " " &amp;$F$92&amp;" VALUES('"&amp;C112&amp;"',"&amp;D112&amp;");"</f>
        <v>INSERT INTO schema_db.course_simulators_exercises (id_courses,id_simulators) VALUES('5',2);</v>
      </c>
    </row>
    <row r="114" spans="2:5" x14ac:dyDescent="0.25">
      <c r="B114" s="1" t="s">
        <v>106</v>
      </c>
    </row>
    <row r="115" spans="2:5" x14ac:dyDescent="0.25">
      <c r="B115" s="2" t="s">
        <v>0</v>
      </c>
      <c r="C115" s="2" t="s">
        <v>113</v>
      </c>
      <c r="D115" s="2" t="s">
        <v>72</v>
      </c>
      <c r="E115" s="1" t="str">
        <f>+"("&amp;C115&amp;","&amp;D115&amp;")"</f>
        <v>(id_course_commission,id_students)</v>
      </c>
    </row>
    <row r="116" spans="2:5" x14ac:dyDescent="0.25">
      <c r="B116" s="3">
        <v>1</v>
      </c>
      <c r="C116" s="4">
        <v>1</v>
      </c>
      <c r="D116" s="4">
        <v>7</v>
      </c>
      <c r="E116" s="1" t="str">
        <f>+"INSERT INTO schema_db." &amp; $B$114 &amp; " " &amp;$E$115&amp;" VALUES('"&amp;C116&amp;"',"&amp;D116&amp;");"</f>
        <v>INSERT INTO schema_db.course_commissions_students (id_course_commission,id_students) VALUES('1',7);</v>
      </c>
    </row>
    <row r="117" spans="2:5" x14ac:dyDescent="0.25">
      <c r="B117" s="3">
        <v>2</v>
      </c>
      <c r="C117" s="4">
        <v>1</v>
      </c>
      <c r="D117" s="4">
        <v>8</v>
      </c>
      <c r="E117" s="1" t="str">
        <f t="shared" ref="E117:E131" si="4">+"INSERT INTO schema_db." &amp; $B$114 &amp; " " &amp;$E$115&amp;" VALUES('"&amp;C117&amp;"',"&amp;D117&amp;");"</f>
        <v>INSERT INTO schema_db.course_commissions_students (id_course_commission,id_students) VALUES('1',8);</v>
      </c>
    </row>
    <row r="118" spans="2:5" x14ac:dyDescent="0.25">
      <c r="B118" s="3">
        <v>3</v>
      </c>
      <c r="C118" s="4">
        <v>2</v>
      </c>
      <c r="D118" s="4">
        <v>7</v>
      </c>
      <c r="E118" s="1" t="str">
        <f t="shared" si="4"/>
        <v>INSERT INTO schema_db.course_commissions_students (id_course_commission,id_students) VALUES('2',7);</v>
      </c>
    </row>
    <row r="119" spans="2:5" x14ac:dyDescent="0.25">
      <c r="B119" s="3">
        <v>4</v>
      </c>
      <c r="C119" s="4">
        <v>2</v>
      </c>
      <c r="D119" s="4">
        <v>8</v>
      </c>
      <c r="E119" s="1" t="str">
        <f t="shared" si="4"/>
        <v>INSERT INTO schema_db.course_commissions_students (id_course_commission,id_students) VALUES('2',8);</v>
      </c>
    </row>
    <row r="120" spans="2:5" x14ac:dyDescent="0.25">
      <c r="B120" s="3">
        <v>5</v>
      </c>
      <c r="C120" s="4">
        <v>3</v>
      </c>
      <c r="D120" s="4">
        <v>7</v>
      </c>
      <c r="E120" s="1" t="str">
        <f t="shared" si="4"/>
        <v>INSERT INTO schema_db.course_commissions_students (id_course_commission,id_students) VALUES('3',7);</v>
      </c>
    </row>
    <row r="121" spans="2:5" x14ac:dyDescent="0.25">
      <c r="B121" s="3">
        <v>6</v>
      </c>
      <c r="C121" s="4">
        <v>3</v>
      </c>
      <c r="D121" s="4">
        <v>8</v>
      </c>
      <c r="E121" s="1" t="str">
        <f t="shared" si="4"/>
        <v>INSERT INTO schema_db.course_commissions_students (id_course_commission,id_students) VALUES('3',8);</v>
      </c>
    </row>
    <row r="122" spans="2:5" x14ac:dyDescent="0.25">
      <c r="B122" s="3">
        <v>7</v>
      </c>
      <c r="C122" s="4">
        <v>4</v>
      </c>
      <c r="D122" s="4">
        <v>7</v>
      </c>
      <c r="E122" s="1" t="str">
        <f t="shared" si="4"/>
        <v>INSERT INTO schema_db.course_commissions_students (id_course_commission,id_students) VALUES('4',7);</v>
      </c>
    </row>
    <row r="123" spans="2:5" x14ac:dyDescent="0.25">
      <c r="B123" s="3">
        <v>8</v>
      </c>
      <c r="C123" s="4">
        <v>4</v>
      </c>
      <c r="D123" s="4">
        <v>8</v>
      </c>
      <c r="E123" s="1" t="str">
        <f t="shared" si="4"/>
        <v>INSERT INTO schema_db.course_commissions_students (id_course_commission,id_students) VALUES('4',8);</v>
      </c>
    </row>
    <row r="124" spans="2:5" x14ac:dyDescent="0.25">
      <c r="B124" s="3">
        <v>9</v>
      </c>
      <c r="C124" s="4">
        <v>5</v>
      </c>
      <c r="D124" s="4">
        <v>7</v>
      </c>
      <c r="E124" s="1" t="str">
        <f t="shared" si="4"/>
        <v>INSERT INTO schema_db.course_commissions_students (id_course_commission,id_students) VALUES('5',7);</v>
      </c>
    </row>
    <row r="125" spans="2:5" x14ac:dyDescent="0.25">
      <c r="B125" s="3">
        <v>10</v>
      </c>
      <c r="C125" s="4">
        <v>5</v>
      </c>
      <c r="D125" s="4">
        <v>8</v>
      </c>
      <c r="E125" s="1" t="str">
        <f t="shared" si="4"/>
        <v>INSERT INTO schema_db.course_commissions_students (id_course_commission,id_students) VALUES('5',8);</v>
      </c>
    </row>
    <row r="126" spans="2:5" x14ac:dyDescent="0.25">
      <c r="B126" s="3">
        <v>11</v>
      </c>
      <c r="C126" s="4">
        <v>6</v>
      </c>
      <c r="D126" s="4">
        <v>7</v>
      </c>
      <c r="E126" s="1" t="str">
        <f t="shared" si="4"/>
        <v>INSERT INTO schema_db.course_commissions_students (id_course_commission,id_students) VALUES('6',7);</v>
      </c>
    </row>
    <row r="127" spans="2:5" x14ac:dyDescent="0.25">
      <c r="B127" s="3">
        <v>12</v>
      </c>
      <c r="C127" s="4">
        <v>6</v>
      </c>
      <c r="D127" s="4">
        <v>8</v>
      </c>
      <c r="E127" s="1" t="str">
        <f t="shared" si="4"/>
        <v>INSERT INTO schema_db.course_commissions_students (id_course_commission,id_students) VALUES('6',8);</v>
      </c>
    </row>
    <row r="128" spans="2:5" x14ac:dyDescent="0.25">
      <c r="B128" s="3">
        <v>13</v>
      </c>
      <c r="C128" s="4">
        <v>7</v>
      </c>
      <c r="D128" s="4">
        <v>7</v>
      </c>
      <c r="E128" s="1" t="str">
        <f t="shared" si="4"/>
        <v>INSERT INTO schema_db.course_commissions_students (id_course_commission,id_students) VALUES('7',7);</v>
      </c>
    </row>
    <row r="129" spans="2:5" x14ac:dyDescent="0.25">
      <c r="B129" s="3">
        <v>14</v>
      </c>
      <c r="C129" s="4">
        <v>7</v>
      </c>
      <c r="D129" s="4">
        <v>8</v>
      </c>
      <c r="E129" s="1" t="str">
        <f t="shared" si="4"/>
        <v>INSERT INTO schema_db.course_commissions_students (id_course_commission,id_students) VALUES('7',8);</v>
      </c>
    </row>
    <row r="130" spans="2:5" x14ac:dyDescent="0.25">
      <c r="B130" s="3">
        <v>15</v>
      </c>
      <c r="C130" s="4">
        <v>8</v>
      </c>
      <c r="D130" s="4">
        <v>7</v>
      </c>
      <c r="E130" s="1" t="str">
        <f t="shared" si="4"/>
        <v>INSERT INTO schema_db.course_commissions_students (id_course_commission,id_students) VALUES('8',7);</v>
      </c>
    </row>
    <row r="131" spans="2:5" x14ac:dyDescent="0.25">
      <c r="B131" s="3">
        <v>16</v>
      </c>
      <c r="C131" s="4">
        <v>8</v>
      </c>
      <c r="D131" s="4">
        <v>8</v>
      </c>
      <c r="E131" s="1" t="str">
        <f t="shared" si="4"/>
        <v>INSERT INTO schema_db.course_commissions_students (id_course_commission,id_students) VALUES('8',8);</v>
      </c>
    </row>
    <row r="133" spans="2:5" x14ac:dyDescent="0.25">
      <c r="B133" s="1" t="s">
        <v>108</v>
      </c>
    </row>
    <row r="134" spans="2:5" x14ac:dyDescent="0.25">
      <c r="B134" s="2" t="s">
        <v>0</v>
      </c>
      <c r="C134" s="2" t="s">
        <v>109</v>
      </c>
      <c r="D134" s="2" t="s">
        <v>107</v>
      </c>
      <c r="E134" s="2" t="s">
        <v>70</v>
      </c>
    </row>
    <row r="135" spans="2:5" x14ac:dyDescent="0.25">
      <c r="B135" s="3">
        <v>1</v>
      </c>
      <c r="C135" s="4" t="str">
        <f>+"exercise"&amp;B135</f>
        <v>exercise1</v>
      </c>
      <c r="D135" s="4" t="str">
        <f>+"description "&amp;C135</f>
        <v>description exercise1</v>
      </c>
      <c r="E135" s="4">
        <v>1</v>
      </c>
    </row>
    <row r="136" spans="2:5" x14ac:dyDescent="0.25">
      <c r="B136" s="3">
        <v>2</v>
      </c>
      <c r="C136" s="4" t="str">
        <f t="shared" ref="C136:C148" si="5">+"exercise"&amp;B136</f>
        <v>exercise2</v>
      </c>
      <c r="D136" s="4" t="str">
        <f t="shared" ref="D136:D148" si="6">+"description "&amp;C136</f>
        <v>description exercise2</v>
      </c>
      <c r="E136" s="4">
        <v>1</v>
      </c>
    </row>
    <row r="137" spans="2:5" x14ac:dyDescent="0.25">
      <c r="B137" s="3">
        <v>3</v>
      </c>
      <c r="C137" s="4" t="str">
        <f t="shared" si="5"/>
        <v>exercise3</v>
      </c>
      <c r="D137" s="4" t="str">
        <f t="shared" si="6"/>
        <v>description exercise3</v>
      </c>
      <c r="E137" s="4">
        <v>1</v>
      </c>
    </row>
    <row r="138" spans="2:5" x14ac:dyDescent="0.25">
      <c r="B138" s="3">
        <v>4</v>
      </c>
      <c r="C138" s="4" t="str">
        <f t="shared" si="5"/>
        <v>exercise4</v>
      </c>
      <c r="D138" s="4" t="str">
        <f t="shared" si="6"/>
        <v>description exercise4</v>
      </c>
      <c r="E138" s="4">
        <v>2</v>
      </c>
    </row>
    <row r="139" spans="2:5" x14ac:dyDescent="0.25">
      <c r="B139" s="3">
        <v>5</v>
      </c>
      <c r="C139" s="4" t="str">
        <f t="shared" si="5"/>
        <v>exercise5</v>
      </c>
      <c r="D139" s="4" t="str">
        <f t="shared" si="6"/>
        <v>description exercise5</v>
      </c>
      <c r="E139" s="4">
        <v>2</v>
      </c>
    </row>
    <row r="140" spans="2:5" x14ac:dyDescent="0.25">
      <c r="B140" s="3">
        <v>6</v>
      </c>
      <c r="C140" s="4" t="str">
        <f t="shared" si="5"/>
        <v>exercise6</v>
      </c>
      <c r="D140" s="4" t="str">
        <f t="shared" si="6"/>
        <v>description exercise6</v>
      </c>
      <c r="E140" s="4">
        <v>2</v>
      </c>
    </row>
    <row r="141" spans="2:5" x14ac:dyDescent="0.25">
      <c r="B141" s="3">
        <v>7</v>
      </c>
      <c r="C141" s="4" t="str">
        <f t="shared" si="5"/>
        <v>exercise7</v>
      </c>
      <c r="D141" s="4" t="str">
        <f t="shared" si="6"/>
        <v>description exercise7</v>
      </c>
      <c r="E141" s="4">
        <v>3</v>
      </c>
    </row>
    <row r="142" spans="2:5" x14ac:dyDescent="0.25">
      <c r="B142" s="3">
        <v>8</v>
      </c>
      <c r="C142" s="4" t="str">
        <f t="shared" si="5"/>
        <v>exercise8</v>
      </c>
      <c r="D142" s="4" t="str">
        <f t="shared" si="6"/>
        <v>description exercise8</v>
      </c>
      <c r="E142" s="4">
        <v>3</v>
      </c>
    </row>
    <row r="143" spans="2:5" x14ac:dyDescent="0.25">
      <c r="B143" s="3">
        <v>9</v>
      </c>
      <c r="C143" s="4" t="str">
        <f t="shared" si="5"/>
        <v>exercise9</v>
      </c>
      <c r="D143" s="4" t="str">
        <f t="shared" si="6"/>
        <v>description exercise9</v>
      </c>
      <c r="E143" s="4">
        <v>4</v>
      </c>
    </row>
    <row r="144" spans="2:5" x14ac:dyDescent="0.25">
      <c r="B144" s="3">
        <v>10</v>
      </c>
      <c r="C144" s="4" t="str">
        <f t="shared" si="5"/>
        <v>exercise10</v>
      </c>
      <c r="D144" s="4" t="str">
        <f t="shared" si="6"/>
        <v>description exercise10</v>
      </c>
      <c r="E144" s="4">
        <v>4</v>
      </c>
    </row>
    <row r="145" spans="2:5" x14ac:dyDescent="0.25">
      <c r="B145" s="3">
        <v>11</v>
      </c>
      <c r="C145" s="4" t="str">
        <f t="shared" si="5"/>
        <v>exercise11</v>
      </c>
      <c r="D145" s="4" t="str">
        <f t="shared" si="6"/>
        <v>description exercise11</v>
      </c>
      <c r="E145" s="4">
        <v>5</v>
      </c>
    </row>
    <row r="146" spans="2:5" x14ac:dyDescent="0.25">
      <c r="B146" s="3">
        <v>12</v>
      </c>
      <c r="C146" s="4" t="str">
        <f t="shared" si="5"/>
        <v>exercise12</v>
      </c>
      <c r="D146" s="4" t="str">
        <f t="shared" si="6"/>
        <v>description exercise12</v>
      </c>
      <c r="E146" s="4">
        <v>5</v>
      </c>
    </row>
    <row r="147" spans="2:5" x14ac:dyDescent="0.25">
      <c r="B147" s="3">
        <v>13</v>
      </c>
      <c r="C147" s="4" t="str">
        <f t="shared" si="5"/>
        <v>exercise13</v>
      </c>
      <c r="D147" s="4" t="str">
        <f t="shared" si="6"/>
        <v>description exercise13</v>
      </c>
      <c r="E147" s="4">
        <v>6</v>
      </c>
    </row>
    <row r="148" spans="2:5" x14ac:dyDescent="0.25">
      <c r="B148" s="3">
        <v>14</v>
      </c>
      <c r="C148" s="4" t="str">
        <f t="shared" si="5"/>
        <v>exercise14</v>
      </c>
      <c r="D148" s="4" t="str">
        <f t="shared" si="6"/>
        <v>description exercise14</v>
      </c>
      <c r="E148" s="4">
        <v>6</v>
      </c>
    </row>
    <row r="150" spans="2:5" x14ac:dyDescent="0.25">
      <c r="B150" s="1" t="s">
        <v>114</v>
      </c>
    </row>
    <row r="151" spans="2:5" x14ac:dyDescent="0.25">
      <c r="B151" s="2" t="s">
        <v>0</v>
      </c>
      <c r="C151" s="2" t="s">
        <v>115</v>
      </c>
      <c r="D151" s="2" t="s">
        <v>107</v>
      </c>
      <c r="E151" s="2" t="s">
        <v>70</v>
      </c>
    </row>
  </sheetData>
  <sortState ref="R34:R48">
    <sortCondition ref="R41:R5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generals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2023-03-02T21:20:43Z</dcterms:modified>
</cp:coreProperties>
</file>