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\campusAppData\"/>
    </mc:Choice>
  </mc:AlternateContent>
  <bookViews>
    <workbookView xWindow="0" yWindow="0" windowWidth="19200" windowHeight="6930"/>
  </bookViews>
  <sheets>
    <sheet name="generals" sheetId="4" r:id="rId1"/>
    <sheet name="Hoja3" sheetId="7" r:id="rId2"/>
    <sheet name="Hoja2" sheetId="6" r:id="rId3"/>
    <sheet name="Hoja1" sheetId="5" r:id="rId4"/>
  </sheets>
  <definedNames>
    <definedName name="_xlnm._FilterDatabase" localSheetId="0" hidden="1">generals!$B$234:$I$264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63" i="4" l="1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F236" i="4" l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H251" i="4" l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36" i="4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G226" i="4"/>
  <c r="D231" i="4"/>
  <c r="D230" i="4"/>
  <c r="G230" i="4" l="1"/>
  <c r="G231" i="4"/>
  <c r="E10" i="4" l="1"/>
  <c r="E11" i="4" s="1"/>
  <c r="K18" i="4"/>
  <c r="K19" i="4" l="1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K27" i="4" l="1"/>
  <c r="K31" i="4"/>
  <c r="K35" i="4"/>
  <c r="K39" i="4"/>
  <c r="K43" i="4"/>
  <c r="K47" i="4"/>
  <c r="K51" i="4"/>
  <c r="K55" i="4"/>
  <c r="K63" i="4"/>
  <c r="K59" i="4"/>
  <c r="K117" i="4"/>
  <c r="K67" i="4"/>
  <c r="K71" i="4"/>
  <c r="K75" i="4"/>
  <c r="K79" i="4"/>
  <c r="K83" i="4"/>
  <c r="K87" i="4"/>
  <c r="K91" i="4"/>
  <c r="K95" i="4"/>
  <c r="K99" i="4"/>
  <c r="K103" i="4"/>
  <c r="K107" i="4"/>
  <c r="K111" i="4"/>
  <c r="K115" i="4"/>
  <c r="K30" i="4"/>
  <c r="K34" i="4"/>
  <c r="K38" i="4"/>
  <c r="K42" i="4"/>
  <c r="K46" i="4"/>
  <c r="K50" i="4"/>
  <c r="K54" i="4"/>
  <c r="K116" i="4"/>
  <c r="K29" i="4"/>
  <c r="K33" i="4"/>
  <c r="K37" i="4"/>
  <c r="K41" i="4"/>
  <c r="K45" i="4"/>
  <c r="K49" i="4"/>
  <c r="K53" i="4"/>
  <c r="K57" i="4"/>
  <c r="K61" i="4"/>
  <c r="K65" i="4"/>
  <c r="K69" i="4"/>
  <c r="K73" i="4"/>
  <c r="K77" i="4"/>
  <c r="K81" i="4"/>
  <c r="K85" i="4"/>
  <c r="K89" i="4"/>
  <c r="K93" i="4"/>
  <c r="K97" i="4"/>
  <c r="K101" i="4"/>
  <c r="K105" i="4"/>
  <c r="K109" i="4"/>
  <c r="K113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12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I161" i="4" l="1"/>
  <c r="I162" i="4" s="1"/>
  <c r="H153" i="4" l="1"/>
  <c r="F144" i="4" l="1"/>
  <c r="F145" i="4" s="1"/>
  <c r="F146" i="4" l="1"/>
  <c r="F147" i="4"/>
  <c r="F148" i="4"/>
  <c r="F149" i="4"/>
  <c r="F150" i="4"/>
  <c r="D158" i="4"/>
  <c r="H158" i="4" s="1"/>
  <c r="D157" i="4"/>
  <c r="H157" i="4" s="1"/>
  <c r="D156" i="4"/>
  <c r="H156" i="4" s="1"/>
  <c r="D155" i="4"/>
  <c r="H155" i="4" s="1"/>
  <c r="D154" i="4"/>
  <c r="H154" i="4" s="1"/>
  <c r="D227" i="4" l="1"/>
  <c r="G227" i="4" s="1"/>
  <c r="D228" i="4"/>
  <c r="G228" i="4" s="1"/>
  <c r="D229" i="4"/>
  <c r="G229" i="4" s="1"/>
  <c r="H121" i="4"/>
  <c r="H141" i="4" s="1"/>
  <c r="H126" i="4" l="1"/>
  <c r="H134" i="4"/>
  <c r="H127" i="4"/>
  <c r="H135" i="4"/>
  <c r="H137" i="4"/>
  <c r="H136" i="4"/>
  <c r="H138" i="4"/>
  <c r="H128" i="4"/>
  <c r="H129" i="4"/>
  <c r="H131" i="4"/>
  <c r="H139" i="4"/>
  <c r="H130" i="4"/>
  <c r="H124" i="4"/>
  <c r="H132" i="4"/>
  <c r="H140" i="4"/>
  <c r="H122" i="4"/>
  <c r="H123" i="4"/>
  <c r="H125" i="4"/>
  <c r="H133" i="4"/>
  <c r="E207" i="4"/>
  <c r="E208" i="4" s="1"/>
  <c r="F184" i="4"/>
  <c r="F199" i="4" s="1"/>
  <c r="I181" i="4" l="1"/>
  <c r="I173" i="4"/>
  <c r="I165" i="4"/>
  <c r="I180" i="4"/>
  <c r="I172" i="4"/>
  <c r="I164" i="4"/>
  <c r="I179" i="4"/>
  <c r="I171" i="4"/>
  <c r="I163" i="4"/>
  <c r="I170" i="4"/>
  <c r="I169" i="4"/>
  <c r="I178" i="4"/>
  <c r="I177" i="4"/>
  <c r="I176" i="4"/>
  <c r="I168" i="4"/>
  <c r="I175" i="4"/>
  <c r="I167" i="4"/>
  <c r="I174" i="4"/>
  <c r="I166" i="4"/>
  <c r="E210" i="4"/>
  <c r="E214" i="4"/>
  <c r="E218" i="4"/>
  <c r="E222" i="4"/>
  <c r="E216" i="4"/>
  <c r="E215" i="4"/>
  <c r="E223" i="4"/>
  <c r="E209" i="4"/>
  <c r="E217" i="4"/>
  <c r="E212" i="4"/>
  <c r="E220" i="4"/>
  <c r="E211" i="4"/>
  <c r="E219" i="4"/>
  <c r="E213" i="4"/>
  <c r="E221" i="4"/>
  <c r="F189" i="4"/>
  <c r="F190" i="4"/>
  <c r="F191" i="4"/>
  <c r="F198" i="4"/>
  <c r="F200" i="4"/>
  <c r="F186" i="4"/>
  <c r="F194" i="4"/>
  <c r="F202" i="4"/>
  <c r="F192" i="4"/>
  <c r="F193" i="4"/>
  <c r="F187" i="4"/>
  <c r="F195" i="4"/>
  <c r="F203" i="4"/>
  <c r="F185" i="4"/>
  <c r="F201" i="4"/>
  <c r="F188" i="4"/>
  <c r="F196" i="4"/>
  <c r="F204" i="4"/>
  <c r="F197" i="4"/>
  <c r="D26" i="4"/>
  <c r="D25" i="4"/>
  <c r="D24" i="4"/>
  <c r="D23" i="4"/>
  <c r="D22" i="4"/>
  <c r="D21" i="4"/>
  <c r="D20" i="4"/>
  <c r="C26" i="4"/>
  <c r="C25" i="4"/>
  <c r="C24" i="4"/>
  <c r="C23" i="4"/>
  <c r="C22" i="4"/>
  <c r="C21" i="4"/>
  <c r="C20" i="4"/>
  <c r="K23" i="4" l="1"/>
  <c r="K22" i="4"/>
  <c r="K20" i="4"/>
  <c r="K25" i="4"/>
  <c r="K21" i="4"/>
  <c r="K24" i="4"/>
  <c r="K26" i="4"/>
  <c r="E3" i="4"/>
  <c r="E5" i="4" l="1"/>
  <c r="E4" i="4"/>
  <c r="E7" i="4"/>
  <c r="E6" i="4"/>
</calcChain>
</file>

<file path=xl/sharedStrings.xml><?xml version="1.0" encoding="utf-8"?>
<sst xmlns="http://schemas.openxmlformats.org/spreadsheetml/2006/main" count="747" uniqueCount="369">
  <si>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</si>
  <si>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</si>
  <si>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</si>
  <si>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</si>
  <si>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</si>
  <si>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</si>
  <si>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</si>
  <si>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</si>
  <si>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</si>
  <si>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users</t>
  </si>
  <si>
    <t>first_name</t>
  </si>
  <si>
    <t>last_name</t>
  </si>
  <si>
    <t>id_user_categories</t>
  </si>
  <si>
    <t>id_companies</t>
  </si>
  <si>
    <t>password</t>
  </si>
  <si>
    <t>administrador_general2@gmail.com</t>
  </si>
  <si>
    <t>administrador_institucion1@gmail.com</t>
  </si>
  <si>
    <t>administrador_institucion2@gmail.com</t>
  </si>
  <si>
    <t>profesor1@gmail.com</t>
  </si>
  <si>
    <t>profesor2@gmail.com</t>
  </si>
  <si>
    <t>token</t>
  </si>
  <si>
    <t>$2a$10$lLNATnUCN0xgjxl7qzGOZes41q0kgYOdq2ttPnRUmgCl.FGQQoVnW</t>
  </si>
  <si>
    <t>$2a$10$/OYqYl72td9ltVT5iSHoyO2Orh.74HFEXoI3mAchIMv5CYNKLUwle</t>
  </si>
  <si>
    <t>$2a$10$0v5QvtczgutBxp1CIZCZ/OYF3I3HlV/I/0EjQePekG314VQQ38zFO</t>
  </si>
  <si>
    <t>$2a$10$pbx.09Bo/KZ//CEaMEBSN.Q5USbMFsDhGU/JdHmCNK66kijpHd1nK</t>
  </si>
  <si>
    <t>$2a$10$XCHGKkK0h1rR3pi3cPFFxeV3WS2ifpSSCifKeleG4nqlKLyYkO1v2</t>
  </si>
  <si>
    <t>$2a$10$flsRN9KlzpkasdLafnnpKOabpUjztGw0NsrdsBh8xM496jHTZPXHy</t>
  </si>
  <si>
    <t>$2a$10$GIroy45aYbOioOugKgCAMO7AUVE77HQNt/gwizaTtRtkxh8GPy67C</t>
  </si>
  <si>
    <t>$2a$10$8NPWP.CiaBlovpVQEX8dTufckp3KxhZpqJj6/UCyt0X.w58kP1Ke2</t>
  </si>
  <si>
    <t>$2a$10$IvDobQMfy.kbsoXK8qo.Wehob50g1KBu0yMLEbxwKOMfgyFbshNCe</t>
  </si>
  <si>
    <t>$2a$10$FBnMJiicD2bAq9T1yLIlQOiHdKKEs0pfGWVJYOyM5LZ6f.kmFQHMa</t>
  </si>
  <si>
    <t>$2a$10$lKnrrX81a3cC.f0OjxiBqOKKgwyypafzNkgYSbtC7uSghc4HVcTgS</t>
  </si>
  <si>
    <t>$2a$10$Y5RL.6JIBjWbhCu9GhzK1efQVEapDVhgHD5pX0PAml4gv0jK0uBWS</t>
  </si>
  <si>
    <t>$2a$10$XCNQtm8A3v0pqZ9R0Tidb.4gW81fW8RLztaAewxQxnfJAKtOminqa</t>
  </si>
  <si>
    <t>$2a$10$MdnY.iTY3bRHrJ5uYn7SiOtqyoffo6BptG3jAuNIC4SMOLGRwWtSy</t>
  </si>
  <si>
    <t>$2a$10$sPc7TuWF8FlP0uJ86IeEk.4uDkKlJ5msviGY6KNwQB9CqP4o8PT1K</t>
  </si>
  <si>
    <t>$2a$10$8XVC0wVqAQ0Ot7kUTABDe.f7uMRmWBCM07tFbO6q/nrx2GPn/HCWO</t>
  </si>
  <si>
    <t>$2a$10$ArXX9t7PusIkdqXDfILOxeGVmdClJJOsi574JywD0RbgfwpJtk//.</t>
  </si>
  <si>
    <t>$2a$10$nHtVd0xHH7KOIHa.jTkLQuUI01K6v7o7JSRygB6fcpsRrfZa1.eWe</t>
  </si>
  <si>
    <t>$2a$10$SBy8vZ7tPVjfeHJ/Otgyjuaouib1lXb393TqIcZ.C/dVpt4RuvdyC</t>
  </si>
  <si>
    <t>$2a$10$Kp0x8/XodKF4m.xBb0EyR.wTyOvW2QI4DI6t282WJOcbYZ3m3cwxu</t>
  </si>
  <si>
    <t>tokens</t>
  </si>
  <si>
    <t>user_email</t>
  </si>
  <si>
    <t>simulators</t>
  </si>
  <si>
    <t>simulator1</t>
  </si>
  <si>
    <t>simulator2</t>
  </si>
  <si>
    <t>simulator3</t>
  </si>
  <si>
    <t>simulator4</t>
  </si>
  <si>
    <t>simulator5</t>
  </si>
  <si>
    <t>simulator6</t>
  </si>
  <si>
    <t>courses</t>
  </si>
  <si>
    <t>course_name</t>
  </si>
  <si>
    <t>course1</t>
  </si>
  <si>
    <t>course2</t>
  </si>
  <si>
    <t>course3</t>
  </si>
  <si>
    <t>course4</t>
  </si>
  <si>
    <t>course5</t>
  </si>
  <si>
    <t>id_courses</t>
  </si>
  <si>
    <t>id_simulators</t>
  </si>
  <si>
    <t>id_teachers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</si>
  <si>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</si>
  <si>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</si>
  <si>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</si>
  <si>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</si>
  <si>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</si>
  <si>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</si>
  <si>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</si>
  <si>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</si>
  <si>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</si>
  <si>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#0020002</t>
  </si>
  <si>
    <t>#0020003</t>
  </si>
  <si>
    <t>#0020004</t>
  </si>
  <si>
    <t>#0030001</t>
  </si>
  <si>
    <t>#0030002</t>
  </si>
  <si>
    <t>#0030003</t>
  </si>
  <si>
    <t>#0030004</t>
  </si>
  <si>
    <t>#0040001</t>
  </si>
  <si>
    <t>#0040002</t>
  </si>
  <si>
    <t>#0040003</t>
  </si>
  <si>
    <t>#0040004</t>
  </si>
  <si>
    <t>#0050001</t>
  </si>
  <si>
    <t>#0050002</t>
  </si>
  <si>
    <t>#0050003</t>
  </si>
  <si>
    <t>#0050004</t>
  </si>
  <si>
    <t>simulador uno</t>
  </si>
  <si>
    <t>simulador dos</t>
  </si>
  <si>
    <t>simulador tres</t>
  </si>
  <si>
    <t>simulador cuatro</t>
  </si>
  <si>
    <t>simulador cinco</t>
  </si>
  <si>
    <t>simulador seis</t>
  </si>
  <si>
    <t>commission</t>
  </si>
  <si>
    <t>course_commissions_students</t>
  </si>
  <si>
    <t>exercises</t>
  </si>
  <si>
    <t>exercise_name</t>
  </si>
  <si>
    <t>enabled</t>
  </si>
  <si>
    <t>true</t>
  </si>
  <si>
    <t>course_description</t>
  </si>
  <si>
    <t>id_course_commission</t>
  </si>
  <si>
    <t>exercises_results</t>
  </si>
  <si>
    <t>id_exercise</t>
  </si>
  <si>
    <t>course_simulators_exercises</t>
  </si>
  <si>
    <t>description</t>
  </si>
  <si>
    <t>simulator_name</t>
  </si>
  <si>
    <t>course_number</t>
  </si>
  <si>
    <t>course_commissions</t>
  </si>
  <si>
    <t>{"date":1674150771459,"grade":4.0,"photoURL":"","simulationDurationSecs":130,"userDisplayName":"","answers":[{"description":"1_Bienvenida: Realizado Correctamente","logTime":5,"type":"Paso Realizado Correctamente"},{"description":"2_EPP: Realizado Correctamente","logTime":23,"type":"Paso Realizado Correctamente"},{"description":"2_b_Cuestionario: Realizado Correctamente","logTime":29,"type":"Paso Realizado Correctamente"},{"description":"3_Línea De Fuego: Realizado Correctamente","logTime":35,"type":"Paso Realizado Correctamente"},{"description":"4_Step1: Señal de retroceso incorrecta","logTime":51,"type":"Error"},{"description":"4_Step2: Realizado Correctamente","logTime":61,"type":"Paso Realizado Correctamente"},{"description":"5_Selección Eslingas: Realizado Correctamente","logTime":69,"type":"Paso Realizado Correctamente"},{"description":"6_Documentación de Eslingas: Realizado Correctamente","logTime":72,"type":"Paso Realizado Correctamente"},{"description":"7_Colocacion de Eslingas: Colocación de eslingas incorrecta","logTime":76,"type":"Error"},{"description":"8_Detener Maniobra por Op. Superpuesta: No detecta el riesgo en operaciones superpuestas","logTime":107,"type":"Error"}]}</t>
  </si>
  <si>
    <t>date</t>
  </si>
  <si>
    <t>grade</t>
  </si>
  <si>
    <t>duration_secs</t>
  </si>
  <si>
    <t>exercises_answers</t>
  </si>
  <si>
    <t>log_time</t>
  </si>
  <si>
    <t>type</t>
  </si>
  <si>
    <t>observations</t>
  </si>
  <si>
    <t>id_exercises</t>
  </si>
  <si>
    <t>id_exercises_results</t>
  </si>
  <si>
    <t>exercise_description</t>
  </si>
  <si>
    <t>Error</t>
  </si>
  <si>
    <t>mail1@mail.com</t>
  </si>
  <si>
    <t>mail2@mail.com</t>
  </si>
  <si>
    <t>mail3@mail.com</t>
  </si>
  <si>
    <t>mail4@mail.com</t>
  </si>
  <si>
    <t>mail5@mail.com</t>
  </si>
  <si>
    <t>mail6@mail.com</t>
  </si>
  <si>
    <t>mail7@mail.com</t>
  </si>
  <si>
    <t>mail8@mail.com</t>
  </si>
  <si>
    <t>mail9@mail.com</t>
  </si>
  <si>
    <t>mail10@mail.com</t>
  </si>
  <si>
    <t>mail11@mail.com</t>
  </si>
  <si>
    <t>mail12@mail.com</t>
  </si>
  <si>
    <t>mail13@mail.com</t>
  </si>
  <si>
    <t>mail14@mail.com</t>
  </si>
  <si>
    <t>mail15@mail.com</t>
  </si>
  <si>
    <t>mail16@mail.com</t>
  </si>
  <si>
    <t>mail17@mail.com</t>
  </si>
  <si>
    <t>mail18@mail.com</t>
  </si>
  <si>
    <t>mail19@mail.com</t>
  </si>
  <si>
    <t>mail20@mail.com</t>
  </si>
  <si>
    <t>mail21@mail.com</t>
  </si>
  <si>
    <t>mail22@mail.com</t>
  </si>
  <si>
    <t>mail23@mail.com</t>
  </si>
  <si>
    <t>mail24@mail.com</t>
  </si>
  <si>
    <t>mail25@mail.com</t>
  </si>
  <si>
    <t>mail26@mail.com</t>
  </si>
  <si>
    <t>mail27@mail.com</t>
  </si>
  <si>
    <t>mail28@mail.com</t>
  </si>
  <si>
    <t>mail29@mail.com</t>
  </si>
  <si>
    <t>mail30@mail.com</t>
  </si>
  <si>
    <t>mail31@mail.com</t>
  </si>
  <si>
    <t>mail32@mail.com</t>
  </si>
  <si>
    <t>mail33@mail.com</t>
  </si>
  <si>
    <t>mail34@mail.com</t>
  </si>
  <si>
    <t>mail35@mail.com</t>
  </si>
  <si>
    <t>mail36@mail.com</t>
  </si>
  <si>
    <t>mail37@mail.com</t>
  </si>
  <si>
    <t>mail38@mail.com</t>
  </si>
  <si>
    <t>mail39@mail.com</t>
  </si>
  <si>
    <t>mail40@mail.com</t>
  </si>
  <si>
    <t>mail41@mail.com</t>
  </si>
  <si>
    <t>mail42@mail.com</t>
  </si>
  <si>
    <t>mail43@mail.com</t>
  </si>
  <si>
    <t>mail44@mail.com</t>
  </si>
  <si>
    <t>mail45@mail.com</t>
  </si>
  <si>
    <t>mail46@mail.com</t>
  </si>
  <si>
    <t>mail47@mail.com</t>
  </si>
  <si>
    <t>mail48@mail.com</t>
  </si>
  <si>
    <t>mail49@mail.com</t>
  </si>
  <si>
    <t>mail50@mail.com</t>
  </si>
  <si>
    <t>mail51@mail.com</t>
  </si>
  <si>
    <t>mail52@mail.com</t>
  </si>
  <si>
    <t>mail53@mail.com</t>
  </si>
  <si>
    <t>mail54@mail.com</t>
  </si>
  <si>
    <t>mail55@mail.com</t>
  </si>
  <si>
    <t>mail56@mail.com</t>
  </si>
  <si>
    <t>mail57@mail.com</t>
  </si>
  <si>
    <t>mail58@mail.com</t>
  </si>
  <si>
    <t>mail59@mail.com</t>
  </si>
  <si>
    <t>mail60@mail.com</t>
  </si>
  <si>
    <t>mail61@mail.com</t>
  </si>
  <si>
    <t>mail62@mail.com</t>
  </si>
  <si>
    <t>mail63@mail.com</t>
  </si>
  <si>
    <t>mail64@mail.com</t>
  </si>
  <si>
    <t>mail65@mail.com</t>
  </si>
  <si>
    <t>mail66@mail.com</t>
  </si>
  <si>
    <t>mail67@mail.com</t>
  </si>
  <si>
    <t>mail68@mail.com</t>
  </si>
  <si>
    <t>mail69@mail.com</t>
  </si>
  <si>
    <t>mail70@mail.com</t>
  </si>
  <si>
    <t>mail71@mail.com</t>
  </si>
  <si>
    <t>mail72@mail.com</t>
  </si>
  <si>
    <t>mail73@mail.com</t>
  </si>
  <si>
    <t>mail74@mail.com</t>
  </si>
  <si>
    <t>mail75@mail.com</t>
  </si>
  <si>
    <t>mail76@mail.com</t>
  </si>
  <si>
    <t>mail77@mail.com</t>
  </si>
  <si>
    <t>mail78@mail.com</t>
  </si>
  <si>
    <t>mail79@mail.com</t>
  </si>
  <si>
    <t>mail80@mail.com</t>
  </si>
  <si>
    <t>mail81@mail.com</t>
  </si>
  <si>
    <t>mail82@mail.com</t>
  </si>
  <si>
    <t>mail83@mail.com</t>
  </si>
  <si>
    <t>mail84@mail.com</t>
  </si>
  <si>
    <t>mail85@mail.com</t>
  </si>
  <si>
    <t>mail86@mail.com</t>
  </si>
  <si>
    <t>mail87@mail.com</t>
  </si>
  <si>
    <t>mail88@mail.com</t>
  </si>
  <si>
    <t>mail89@mail.com</t>
  </si>
  <si>
    <t>mail90@mail.com</t>
  </si>
  <si>
    <t>mail91@mail.com</t>
  </si>
  <si>
    <t>mail92@mail.com</t>
  </si>
  <si>
    <t>mail93@mail.com</t>
  </si>
  <si>
    <t>mail94@mail.com</t>
  </si>
  <si>
    <t>$2a$10$SkhFI8VBNz4X3osdUacmxu8FHRMiStesFtqpa/1ue/iBpYPmjAh2e</t>
  </si>
  <si>
    <t>$2a$10$lWwIDxwCw1dVipkq/29mA.Ny2nb38mj5B6BDeTheMaZXokgqo.Dh6</t>
  </si>
  <si>
    <t>$2a$10$GgrDxlTc0/ua.gJwiZQJj.m9LsxMWOTLD8ysVo14I2mV4ndWEXuAO</t>
  </si>
  <si>
    <t>$2a$10$FjogmyY.bHGlbJoBquAnUOjnCtI8AIZ74g1knxv.jsyzckwxwhLuO</t>
  </si>
  <si>
    <t>$2a$10$y5MBDNO/oBpaXQyil1h4fuJUXZVcfLfF/gnLKCKXsi63YzSZYdI9i</t>
  </si>
  <si>
    <t>$2a$10$JOZEPUdJIcHR0m28xJLCOehO61o/n6LM/TXHmwHN740kpix217Tyy</t>
  </si>
  <si>
    <t>$2a$10$5FpBFG9jZgpdC6eFRttr2eV32eDm5I70xSYI.VQxFV6WN91t4V9BS</t>
  </si>
  <si>
    <t>$2a$10$cwf5mrLDoNoqLsm8qZSKM.1kQJ.2rIdfzzT6v1YAKRd2zXJkGwYVu</t>
  </si>
  <si>
    <t>$2a$10$TWdh2Q0zG/PJM838upgsF.K/jfNb4ChLXjZ27TG1pDq4ENbMRPie6</t>
  </si>
  <si>
    <t>$2a$10$z5vty2OiU7osiNluxXNA7.1/G1QA2LkWEBc0R5hhm3vxSE/GWrPhy</t>
  </si>
  <si>
    <t>$2a$10$lkF3dyT/hiB3tb9YxfV0Se/gv6HIZMwcWlWdTitxzyu3TEaUdu6na</t>
  </si>
  <si>
    <t>$2a$10$OhANyRQNI3yehLzRnyyMAueedBMxgsFgxNtXvsMqBpXJOHS2VX6P.</t>
  </si>
  <si>
    <t>$2a$10$/i8/HpJmH1Whnyl4Jgv9SOLRIk1klxm5dvRnev2xFGn3/9bd2boj6</t>
  </si>
  <si>
    <t>$2a$10$nJqf2m0SysNIHLhUZwmfZejRtbrDwUukmWEAkCFIeAYJNlJ6gmrGa</t>
  </si>
  <si>
    <t>$2a$10$ZTJmCiDHkSO6Hut7B/yRvuBcpyfIe/JDubk3rEeHFFDBcQGXFfzxS</t>
  </si>
  <si>
    <t>$2a$10$S.MAnqiIm0KhytMajWwYXe9jbz1pwCYtr1zPs50Ep58.uHnkUzn6e</t>
  </si>
  <si>
    <t>$2a$10$80xUKpv0zCK/0FLTo0xbUejHkPPeApZEH4VwXObhDI942yI4tYhf.</t>
  </si>
  <si>
    <t>$2a$10$691o7cXLOKFdb8svXmOfRuK49eXpQDu7VXXF7Is2moesUa8/vqOLC</t>
  </si>
  <si>
    <t>$2a$10$iFGH9mohd5Rmll2E6k3Jf.YvXljwq0hLAL21g7tg2KLcWtRSSwSSS</t>
  </si>
  <si>
    <t>$2a$10$boJNaBvFNsz6n9rbqXMME.X5lcWFr6f36GPVxKoMsHW5lxAh00nWa</t>
  </si>
  <si>
    <t>$2a$10$RMzI9FUsgJzMpF63yEE0Cuj45cuSjkEqP4M0zcbWT5G1kNfTbJ4Le</t>
  </si>
  <si>
    <t>$2a$10$wYrHV3d38ZtD3BDXRpJqgOHlWaev980szh2six8Uq84ub/H04o7Uu</t>
  </si>
  <si>
    <t>$2a$10$2a.jZPZQJxB9UKpJs/bcPeEy2URpqL.g8b/5KUsUxYIVGPioKFUkC</t>
  </si>
  <si>
    <t>$2a$10$er0l7g0bpXQ18vPZLD5jOOlmcFeJrp6XBD8HRW/UrkTu7I8SFvXX.</t>
  </si>
  <si>
    <t>$2a$10$q.liajUgC4mY/fnMWvwJeuKUKYM43W2dbKhz/3v/ZJLr1O1O4u6W.</t>
  </si>
  <si>
    <t>$2a$10$yHwBr9MG/DdFZNtBoFLI..3adO.W6qfla46jT0xxwJeJLF.edzZwa</t>
  </si>
  <si>
    <t>$2a$10$JQyDiTYxOJIWyBMnr59M2.HqcQkGKq3XK5ji.BYM4PyxqO.uhRB1.</t>
  </si>
  <si>
    <t>$2a$10$XvLVz7fmz6XlZdAikUVY5.ldlGUhNKlSR7tTT0PeGnv208AGeoJfC</t>
  </si>
  <si>
    <t>$2a$10$QdxoEAWqNkTx8R.E/MS1eesBTutBCNpnjMO0TtLxj/bSRvyqz05zG</t>
  </si>
  <si>
    <t>$2a$10$UVmUm.s3ff1jLak7/zxTCO3vBvxFw.HWPiWqa6KCU1tRjEsbCKJJq</t>
  </si>
  <si>
    <t>$2a$10$Pha.R9tkC1SJ5xh7R1Q4muevduEq9rkObcaOf/NGtC2vUHcX0u7Fe</t>
  </si>
  <si>
    <t>$2a$10$dkaxIcwUfyCMOblM09erxeThFWoSd7bDreqIl1ifvSH/HO2LrJ.wO</t>
  </si>
  <si>
    <t>$2a$10$5VRwUGVsanwe5uR4Q1AHKOcLxOAst/R3.5tfkVTvUiaG9OscBEvvm</t>
  </si>
  <si>
    <t>$2a$10$Q2q/IQKYPi.Nt3I0NiLJEe.dUAS7C99Q5Bg4pikoWW5xyehttGXeG</t>
  </si>
  <si>
    <t>$2a$10$7QGy8BK3QOD./nOKjSD86O4nRacibmbWxS9oUr5GWSMec0pY60fSu</t>
  </si>
  <si>
    <t>$2a$10$G6LOed4mniBPykl78Z9LCeSAQyJWxAU3zjDfGniYR36RDvrj1dqzm</t>
  </si>
  <si>
    <t>$2a$10$F9BeQdJDLUM7fCOXRnjDGuTS.y1UE46aTYF4TwmDTP59a0KJJP4wK</t>
  </si>
  <si>
    <t>$2a$10$lRz.wzuAH7vmLGDGXybfU./YsFmXoL2WcAIObwT8pmRh1yJRIL1F.</t>
  </si>
  <si>
    <t>$2a$10$2FtcL9uQyInpYKCBiRWAIup.h8g7yldALlHpT2daX1l8UzuRUON4S</t>
  </si>
  <si>
    <t>$2a$10$45QeNLn1nc8n62m4cTgRJePgQGSw6RmoDaAcFt7duemTTNXVe5DIO</t>
  </si>
  <si>
    <t>$2a$10$CdRr8ODyeDZfLdjQGe6Fje.bCP1APRsPk6kriToF/D1jG79hwk/0u</t>
  </si>
  <si>
    <t>$2a$10$UoQFUeS7aj97YXXO/93dLuDxHJYtyktff1BlqY8ed/HRu/fYLzW3u</t>
  </si>
  <si>
    <t>$2a$10$OgGGAB3UfGQKSCOJ11GopuWLSYcSsRw6U4cCmHPefQW2seDKivCbi</t>
  </si>
  <si>
    <t>$2a$10$EZT/AZI3ly7C2fswUWIhRuTcce1RcgWoao4KvC4QuiMcifczLyBKW</t>
  </si>
  <si>
    <t>$2a$10$f6fzshhDvM339RXZQNM1celF1MnCpQWO6hazVPN6i.f33G15U6Gji</t>
  </si>
  <si>
    <t>$2a$10$WWq.jgEgW5UtKFeAzSuj5e19V5GZvwc1crG4FA/0Mc/3us3HX.T2G</t>
  </si>
  <si>
    <t>$2a$10$oEQGaYZ7g33uNDcV1iiRIe0nwuzj5G/UYVwl8.9P8EU.9..YfLdwq</t>
  </si>
  <si>
    <t>$2a$10$fXXOR6k.D2/9l8PMwlngM.O9N0OPPgUW81PDox9p8CCyEz0UTJq4C</t>
  </si>
  <si>
    <t>$2a$10$l6Nkdi5p41xJJ0peK5Z7JuyjbrZ/6dNW/pyepv0ZuqycAbZHh15Qm</t>
  </si>
  <si>
    <t>$2a$10$4KoF6cy5W7mzxTdhYAfqEOpfoRverjiCwIU0XKflr2KJCMc6jJa4S</t>
  </si>
  <si>
    <t>$2a$10$Rf4jxrgVETc1jQGTvTwOBeQaisnXUCQ7Fp7qh0yR7nq5K8b/zRJhC</t>
  </si>
  <si>
    <t>$2a$10$bG9b0SUiWG2G0dTju.O3kuZ/ULoLbzH0RjUaPiWd4tfiSsDMVwohm</t>
  </si>
  <si>
    <t>$2a$10$OavDu63zlxXU2iDX6/i4Y.11ctArL7nfTzSe6FTNYdDPOhNUL3DMe</t>
  </si>
  <si>
    <t>$2a$10$/Wu6fUuKiMAB6JQyAt4IPOJURIn3PsJp726t7tKY/9P0l/6VKtkaS</t>
  </si>
  <si>
    <t>$2a$10$UOHtNGVPjNtiX1lHkOE/QOfY1HHiO3wIs9liWJoCaPjj/LBd6kY1a</t>
  </si>
  <si>
    <t>$2a$10$CAdZMEI5jrSJQNVl.7i7ROUkoHCWo2P0dfx9LHPvkh86vrLeA4PQK</t>
  </si>
  <si>
    <t>$2a$10$daSZsPqgHDSyVuVd7bOFZeOwuC/QIOKn2jHcnEaQ3KbCmxCoeUTdO</t>
  </si>
  <si>
    <t>$2a$10$N5dOeKNeWrMgJZMlCxECGenL44MGcxPkBQY1RhX23EENvlOxSnLb6</t>
  </si>
  <si>
    <t>$2a$10$GH9cr.J.og44.5gkFoHktepX1OqitY0HOZKrv5foA5M9/PopDCB1O</t>
  </si>
  <si>
    <t>$2a$10$B6XdEzReezg8Ah3bcaK/fOMW.salJaZHUHb6w03uL2BmAMdefKuQe</t>
  </si>
  <si>
    <t>$2a$10$NuNtv.FKoQSWv3DenXyIqe6Yhqgf5YBHsrZmsMhCP29c9niiTFD9u</t>
  </si>
  <si>
    <t>$2a$10$3Ox9/sTbbixq9yhD0HCxiueYsdBGE2a2uBjiqlkarXUxt6i/jshq2</t>
  </si>
  <si>
    <t>$2a$10$Lm2aY.bKOn3RHA5VMjOgJOgfTx7x4Vm4dJi9uucfuOXd9oDm8FZTy</t>
  </si>
  <si>
    <t>$2a$10$viTf9Sip.rgN6dwd5z7ze.9j.ieBHCGyvHJXkv5eP7xNuIJN6y9WO</t>
  </si>
  <si>
    <t>$2a$10$rfwMBauK3FV7TPb9GnWpvefkF.YEX5Q.8m67oFNeL8WgYfw2HfWwe</t>
  </si>
  <si>
    <t>$2a$10$d1tI2IN0d54BXCSNDYiqqu/kQRqW8RV3iZnyUm7dERBLfHPmcV2hi</t>
  </si>
  <si>
    <t>$2a$10$sKzLtKS/OlPLmHxUFY/0Te9VddZQGD360iNZ67QEQPb2g9TVVrRZG</t>
  </si>
  <si>
    <t>$2a$10$vh.3/hUel/yxtoZi38lfSeFabMCOvf3efKxBRi6pTO2aDhybCUngO</t>
  </si>
  <si>
    <t>$2a$10$nNBFbWRT9dU7UWaDBFAYFOQYCl0Asj.rGw/6q3BYny6DbI2pbaoMa</t>
  </si>
  <si>
    <t>$2a$10$/8p0kyTsD9oN3m5SkaYISO3cw3XAByeJFM/1pkasIQ0bXI/hd5ndG</t>
  </si>
  <si>
    <t>$2a$10$NCc.PJZQncMbGWRP4v3sqOV8MtJ7lanbCQupafOc0pLm3Z8t9lUsS</t>
  </si>
  <si>
    <t>$2a$10$PEu/LR0vg5n5uEI.ozRag.KzOGVvuv52bPWCRcQU8bpy2KGqgaPg2</t>
  </si>
  <si>
    <t>$2a$10$cPS5RrHBBqYQrqYp50/0JumPPVxQHn.n1LSRM1GkxLsZYmx9DULg6</t>
  </si>
  <si>
    <t>$2a$10$hGo5bQUINHl/Oyvy4JhPIeuD13fF6QXZkYczWoVKj0lEX7Iwc9nvy</t>
  </si>
  <si>
    <t>$2a$10$VjkTVvjkRISkLdzmB65d2e98.RH5squpjcruFcys85IN1OoPS.H.G</t>
  </si>
  <si>
    <t>$2a$10$dSQrI9BnDYaYKWt7sX2egeIPnuBpxRltXRPasIHV6r5tkJ5ci4OIa</t>
  </si>
  <si>
    <t>$2a$10$wGNpFrruyc4PqEL.qQ98rOH2k68FpxpB.VjwHcMCcGwkAnqD8189m</t>
  </si>
  <si>
    <t>$2a$10$mTFL55/.qm1deTLNc8MbOes/A3RIvwvyVCUahnjsjMyGrDG1WfhwK</t>
  </si>
  <si>
    <t>$2a$10$r3Q6H5F1pYvyNSl5fbIrG.Um15tzMDjVnZJDy0QSA4hncIEKIljDa</t>
  </si>
  <si>
    <t>$2a$10$UHhnpJicrYOmcyfHbd8i5em3DlqRw4VUDcarWxHUzy.hHwYC7PLX2</t>
  </si>
  <si>
    <t>$2a$10$iaAIJxK8vkiESprkWVhuE.W0rh7T78fblPMXn8ETrz19CZh08.SVG</t>
  </si>
  <si>
    <t>$2a$10$4dqnBjK6zwM2BfO7.T7gW.9MPqroaCyLEecfNAoCNnYQuSqjY6cuW</t>
  </si>
  <si>
    <t>$2a$10$1UkoU5nvbpo8FtHlIa//zeJCf5WzuVuJ/8hazESRHgPT/0f0kfnay</t>
  </si>
  <si>
    <t>$2a$10$dnaILhYrGeZ5hYzO6R8V6e64ejBb5BBQdL8Wm.oYI3CvPuynGE6Rm</t>
  </si>
  <si>
    <t>$2a$10$MUKm4Rt4JkItzGc/V6RWLO.HF70OOimfJWGLBQ6c5CKLzVaFRAXdG</t>
  </si>
  <si>
    <t>$2a$10$99Poo/3iQRn6deXgggeksOG9VfLNYKt6xKH/2Otgr3v4T5jkSy4IC</t>
  </si>
  <si>
    <t>$2a$10$AqT37CgmpeNFe4kni5UlcuK553cz5yudgR.jv3btkUhjCXFIEzPRq</t>
  </si>
  <si>
    <t>$2a$10$dSsP5OeVSmaH.rEksF.y9.1sTBVgua1uMYqgqev2rlGm/072SyhEK</t>
  </si>
  <si>
    <t>$2a$10$oQTvZQZxzZNDvjHx3dfwFeD5vET8hvUsDkP/mJe1UUwJujAZk8jDW</t>
  </si>
  <si>
    <t>$2a$10$kdsTpJb684JCxngLgA3K/uFRrd2agwkdfFQOlLm3FviEHjGgc3mIK</t>
  </si>
  <si>
    <t>$2a$10$hgyu9d1D1zIX4STpeTya8.VUvWLr.zPJBVL9RZMdZ6ZIA.xWBNAu6</t>
  </si>
  <si>
    <t>$2a$10$0SlVm/iWOVZ/XiJe.xFRV.0uH2A5Cg7wuKmJhzb1eCr2HNLtwtn52</t>
  </si>
  <si>
    <t>$2a$10$dneDSvaaTwwL5dA7PZ5vBeLN588qZd0xYvjMTuePCmXXAEyDXATJy</t>
  </si>
  <si>
    <t>$2a$10$ZgCWs798JajM3yZER.IXNegoaKwb7DgmtumcbL/z5R1Exj0/xgVhi</t>
  </si>
  <si>
    <t>$2a$10$HMlw5/TMD.97xSULq6tuI.dCIzfN/dhN0aO/Q7RuPbQmtyKAngG3W</t>
  </si>
  <si>
    <t>$2a$10$/eA3pTHko7ZBNpSIVofs7.re7PbjWi5Se8p0idgiafhXCms.LrG.S</t>
  </si>
  <si>
    <t>$2a$10$9tS3yNCb1hH9OBhvqpp/wekobNdtQIhCgVx.ZJLbsQ/I5hD/XQbE2</t>
  </si>
  <si>
    <t>$2a$10$m.HgFNM4ZjG3MW6aADrxf.dONmhP7KKd7SyzrXg4JeifStPHnE5aW</t>
  </si>
  <si>
    <t>$2a$10$VkVzkQfeRqJLWbDa1VpQ7eBxEnAZOIp8VP8buVZMOWKp82mxZFFfG</t>
  </si>
  <si>
    <t>id_document</t>
  </si>
  <si>
    <t>11111111</t>
  </si>
  <si>
    <t>22222222</t>
  </si>
  <si>
    <t>33333333</t>
  </si>
  <si>
    <t>44444444</t>
  </si>
  <si>
    <t>55555555</t>
  </si>
  <si>
    <t>66666666</t>
  </si>
  <si>
    <t>77777777</t>
  </si>
  <si>
    <t>88888888</t>
  </si>
  <si>
    <t>99999999</t>
  </si>
  <si>
    <t>Francisco</t>
  </si>
  <si>
    <t>Barcelo</t>
  </si>
  <si>
    <t>schema</t>
  </si>
  <si>
    <t>fran@gmail.com</t>
  </si>
  <si>
    <t>$2a$10$wVdGjuJCdSVvh4lUE.tNIOcNU91S/GvcKZMN65Ycf9eGtk9OfOXy.</t>
  </si>
  <si>
    <t>Paso realizado correctamente</t>
  </si>
  <si>
    <t>\nFaltó seleccionar:\nContraste, Jeringa, Algodon, Adhesivo, Descartador, Llave de 3 vías, Solucion, Difenhidramina, Guía\n\nSe requería el cateter de 22G</t>
  </si>
  <si>
    <t>Es necesario examinar la bomba en estudios con contraste</t>
  </si>
  <si>
    <t>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</t>
  </si>
  <si>
    <t>80.5</t>
  </si>
  <si>
    <t>81.5</t>
  </si>
  <si>
    <t>82.5</t>
  </si>
  <si>
    <t>83.5</t>
  </si>
  <si>
    <t>84.5</t>
  </si>
  <si>
    <t>85.5</t>
  </si>
  <si>
    <t>86.5</t>
  </si>
  <si>
    <t>87.5</t>
  </si>
  <si>
    <t>88.5</t>
  </si>
  <si>
    <t>89.5</t>
  </si>
  <si>
    <t>90.5</t>
  </si>
  <si>
    <t>91.5</t>
  </si>
  <si>
    <t>92.5</t>
  </si>
  <si>
    <t>93.5</t>
  </si>
  <si>
    <t>94.5</t>
  </si>
  <si>
    <t>95.5</t>
  </si>
  <si>
    <t>96.5</t>
  </si>
  <si>
    <t>97.5</t>
  </si>
  <si>
    <t>98.5</t>
  </si>
  <si>
    <t>99.5</t>
  </si>
  <si>
    <t>1d_paso1d</t>
  </si>
  <si>
    <t>1a_paso1a</t>
  </si>
  <si>
    <t>1c_paso1c</t>
  </si>
  <si>
    <t>2x_paso2x</t>
  </si>
  <si>
    <t>2d_paso2d</t>
  </si>
  <si>
    <t>3c_paso3c</t>
  </si>
  <si>
    <t>3f_paso3f</t>
  </si>
  <si>
    <t>3p_paso3p</t>
  </si>
  <si>
    <t>3x_paso3x</t>
  </si>
  <si>
    <t>3w_paso3w</t>
  </si>
  <si>
    <t>4z_paso4z</t>
  </si>
  <si>
    <t>4y_paso4y</t>
  </si>
  <si>
    <t>5g_paso5g</t>
  </si>
  <si>
    <t>5t_paso5t</t>
  </si>
  <si>
    <t>5u_paso5u</t>
  </si>
  <si>
    <t>5p_paso5p</t>
  </si>
  <si>
    <t>exercise_z</t>
  </si>
  <si>
    <t>exercise_b</t>
  </si>
  <si>
    <t>exercise_a</t>
  </si>
  <si>
    <t>exercise_y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</si>
</sst>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2" fillId="0" borderId="1" xfId="0" applyFont="1" applyBorder="1"/>
    <xf numFmtId="0" fontId="3" fillId="2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3" fillId="0" borderId="1" xfId="1" quotePrefix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5" fillId="2" borderId="1" xfId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1" xfId="2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</cellXfs>
  <cellStyles count="3">
    <cellStyle name="Hipervínculo" xfId="2" builtinId="8"/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565"/>
  <sheetViews>
    <sheetView showGridLines="0" tabSelected="1" topLeftCell="A342" workbookViewId="0">
      <selection activeCell="K268" sqref="K268:K363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13.7265625" style="1" customWidth="1"/>
    <col min="4" max="4" width="19.54296875" style="1" customWidth="1"/>
    <col min="5" max="5" width="16.6328125" style="1" customWidth="1"/>
    <col min="6" max="6" width="13.1796875" style="18" customWidth="1"/>
    <col min="7" max="7" width="13.81640625" style="1" customWidth="1"/>
    <col min="8" max="8" width="14.90625" style="1" customWidth="1"/>
    <col min="9" max="16384" width="10.90625" style="1"/>
  </cols>
  <sheetData>
    <row r="2" spans="2:5" x14ac:dyDescent="0.25">
      <c r="B2" s="1" t="s">
        <v>2</v>
      </c>
    </row>
    <row r="3" spans="2:5" x14ac:dyDescent="0.25">
      <c r="B3" s="2" t="s">
        <v>0</v>
      </c>
      <c r="C3" s="2" t="s">
        <v>1</v>
      </c>
      <c r="D3" s="2" t="s">
        <v>94</v>
      </c>
      <c r="E3" s="1" t="str">
        <f>+"("&amp;C3&amp;")"</f>
        <v>(category_name)</v>
      </c>
    </row>
    <row r="4" spans="2:5" x14ac:dyDescent="0.25">
      <c r="B4" s="3">
        <v>1</v>
      </c>
      <c r="C4" s="4" t="s">
        <v>4</v>
      </c>
      <c r="D4" s="4" t="s">
        <v>95</v>
      </c>
      <c r="E4" s="1" t="str">
        <f>+"INSERT INTO schema_db." &amp; $B$2 &amp; " " &amp;$E$3&amp;" VALUES('"&amp;C4&amp;"');"</f>
        <v>INSERT INTO schema_db.user_categories (category_name) VALUES('administrador_general');</v>
      </c>
    </row>
    <row r="5" spans="2:5" x14ac:dyDescent="0.25">
      <c r="B5" s="3">
        <v>2</v>
      </c>
      <c r="C5" s="4" t="s">
        <v>3</v>
      </c>
      <c r="D5" s="4" t="s">
        <v>95</v>
      </c>
      <c r="E5" s="1" t="str">
        <f>+"INSERT INTO schema_db." &amp; $B$2 &amp; " " &amp;$E$3&amp;" VALUES('"&amp;C5&amp;"');"</f>
        <v>INSERT INTO schema_db.user_categories (category_name) VALUES('administrador_institucion');</v>
      </c>
    </row>
    <row r="6" spans="2:5" x14ac:dyDescent="0.25">
      <c r="B6" s="3">
        <v>3</v>
      </c>
      <c r="C6" s="4" t="s">
        <v>5</v>
      </c>
      <c r="D6" s="4" t="s">
        <v>95</v>
      </c>
      <c r="E6" s="1" t="str">
        <f>+"INSERT INTO schema_db." &amp; $B$2 &amp; " " &amp;$E$3&amp;" VALUES('"&amp;C6&amp;"');"</f>
        <v>INSERT INTO schema_db.user_categories (category_name) VALUES('profesor');</v>
      </c>
    </row>
    <row r="7" spans="2:5" x14ac:dyDescent="0.25">
      <c r="B7" s="3">
        <v>4</v>
      </c>
      <c r="C7" s="4" t="s">
        <v>6</v>
      </c>
      <c r="D7" s="4" t="s">
        <v>95</v>
      </c>
      <c r="E7" s="1" t="str">
        <f>+"INSERT INTO schema_db." &amp; $B$2 &amp; " " &amp;$E$3&amp;" VALUES('"&amp;C7&amp;"');"</f>
        <v>INSERT INTO schema_db.user_categories (category_name) VALUES('alumno');</v>
      </c>
    </row>
    <row r="9" spans="2:5" x14ac:dyDescent="0.25">
      <c r="B9" s="1" t="s">
        <v>7</v>
      </c>
    </row>
    <row r="10" spans="2:5" x14ac:dyDescent="0.25">
      <c r="B10" s="2" t="s">
        <v>0</v>
      </c>
      <c r="C10" s="2" t="s">
        <v>8</v>
      </c>
      <c r="D10" s="2" t="s">
        <v>94</v>
      </c>
      <c r="E10" s="1" t="str">
        <f>+"("&amp;C10&amp;","&amp;D10&amp;")"</f>
        <v>(company_name,enabled)</v>
      </c>
    </row>
    <row r="11" spans="2:5" x14ac:dyDescent="0.25">
      <c r="B11" s="3">
        <v>1</v>
      </c>
      <c r="C11" s="4" t="s">
        <v>322</v>
      </c>
      <c r="D11" s="4">
        <v>1</v>
      </c>
      <c r="E11" s="1" t="str">
        <f>+"INSERT INTO schema_db." &amp; $B$9 &amp; " " &amp;$E$10&amp;" VALUES('"&amp;C11&amp;"',"&amp;D11&amp;");"</f>
        <v>INSERT INTO schema_db.companies (company_name,enabled) VALUES('schema',1);</v>
      </c>
    </row>
    <row r="12" spans="2:5" x14ac:dyDescent="0.25">
      <c r="B12" s="3"/>
      <c r="C12" s="4"/>
      <c r="D12" s="4"/>
    </row>
    <row r="13" spans="2:5" x14ac:dyDescent="0.25">
      <c r="B13" s="3"/>
      <c r="C13" s="4"/>
      <c r="D13" s="4"/>
    </row>
    <row r="14" spans="2:5" x14ac:dyDescent="0.25">
      <c r="B14" s="3"/>
      <c r="C14" s="4"/>
      <c r="D14" s="4"/>
    </row>
    <row r="15" spans="2:5" x14ac:dyDescent="0.25">
      <c r="B15" s="3"/>
      <c r="C15" s="4"/>
      <c r="D15" s="4"/>
    </row>
    <row r="17" spans="2:11" x14ac:dyDescent="0.25">
      <c r="B17" s="1" t="s">
        <v>9</v>
      </c>
    </row>
    <row r="18" spans="2:11" x14ac:dyDescent="0.25">
      <c r="B18" s="2" t="s">
        <v>0</v>
      </c>
      <c r="C18" s="2" t="s">
        <v>10</v>
      </c>
      <c r="D18" s="2" t="s">
        <v>11</v>
      </c>
      <c r="E18" s="2" t="s">
        <v>310</v>
      </c>
      <c r="F18" s="2" t="s">
        <v>42</v>
      </c>
      <c r="G18" s="2" t="s">
        <v>14</v>
      </c>
      <c r="H18" s="2" t="s">
        <v>12</v>
      </c>
      <c r="I18" s="2" t="s">
        <v>13</v>
      </c>
      <c r="J18" s="2" t="s">
        <v>94</v>
      </c>
      <c r="K18" s="1" t="str">
        <f>+"("&amp;C18&amp;","&amp;D18&amp;","&amp;E18&amp;","&amp;F18&amp;","&amp;G18&amp;","&amp;H18&amp;","&amp;I18&amp;","&amp;J18&amp;")"</f>
        <v>(first_name,last_name,id_document,user_email,password,id_user_categories,id_companies,enabled)</v>
      </c>
    </row>
    <row r="19" spans="2:11" ht="14.5" x14ac:dyDescent="0.35">
      <c r="B19" s="3">
        <v>1</v>
      </c>
      <c r="C19" s="4" t="s">
        <v>320</v>
      </c>
      <c r="D19" s="4" t="s">
        <v>321</v>
      </c>
      <c r="E19" s="4" t="s">
        <v>311</v>
      </c>
      <c r="F19" s="17" t="s">
        <v>323</v>
      </c>
      <c r="G19" s="17" t="s">
        <v>324</v>
      </c>
      <c r="H19" s="3">
        <v>1</v>
      </c>
      <c r="I19" s="3">
        <v>1</v>
      </c>
      <c r="J19" s="4">
        <v>1</v>
      </c>
      <c r="K19" s="1" t="str">
        <f>+"INSERT INTO schema_db." &amp; $B$17 &amp; " " &amp;$K$18&amp;" VALUES('"&amp;C19&amp;"','"&amp;D19&amp;"',"&amp;E19&amp;",'"&amp;F19&amp;"','"&amp;G19&amp;"',"&amp;H19&amp;","&amp;I19&amp;","&amp;J19&amp;");"</f>
        <v>INSERT INTO schema_db.users (first_name,last_name,id_document,user_email,password,id_user_categories,id_companies,enabled) VALUES('Francisco','Barcelo',11111111,'fran@gmail.com','$2a$10$wVdGjuJCdSVvh4lUE.tNIOcNU91S/GvcKZMN65Ycf9eGtk9OfOXy.',1,1,1);</v>
      </c>
    </row>
    <row r="20" spans="2:11" x14ac:dyDescent="0.25">
      <c r="B20" s="3">
        <v>2</v>
      </c>
      <c r="C20" s="4" t="str">
        <f t="shared" ref="C20:C26" si="0">+$C$18&amp;B20</f>
        <v>first_name2</v>
      </c>
      <c r="D20" s="4" t="str">
        <f t="shared" ref="D20:D26" si="1">+$D$18&amp;B20</f>
        <v>last_name2</v>
      </c>
      <c r="E20" s="4" t="s">
        <v>312</v>
      </c>
      <c r="F20" s="3" t="s">
        <v>15</v>
      </c>
      <c r="G20" s="5" t="s">
        <v>211</v>
      </c>
      <c r="H20" s="3">
        <v>1</v>
      </c>
      <c r="I20" s="3">
        <v>2</v>
      </c>
      <c r="J20" s="4">
        <v>1</v>
      </c>
      <c r="K20" s="1" t="str">
        <f t="shared" ref="K20:K83" si="2">+"INSERT INTO schema_db." &amp; $B$17 &amp; " " &amp;$K$18&amp;" VALUES('"&amp;C20&amp;"','"&amp;D20&amp;"',"&amp;E20&amp;",'"&amp;F20&amp;"','"&amp;G20&amp;"',"&amp;H20&amp;","&amp;I20&amp;","&amp;J20&amp;");"</f>
        <v>INSERT INTO schema_db.users (first_name,last_name,id_document,user_email,password,id_user_categories,id_companies,enabled) VALUES('first_name2','last_name2',22222222,'administrador_general2@gmail.com','$2a$10$SkhFI8VBNz4X3osdUacmxu8FHRMiStesFtqpa/1ue/iBpYPmjAh2e',1,2,1);</v>
      </c>
    </row>
    <row r="21" spans="2:11" x14ac:dyDescent="0.25">
      <c r="B21" s="3">
        <v>3</v>
      </c>
      <c r="C21" s="4" t="str">
        <f t="shared" si="0"/>
        <v>first_name3</v>
      </c>
      <c r="D21" s="4" t="str">
        <f t="shared" si="1"/>
        <v>last_name3</v>
      </c>
      <c r="E21" s="4" t="s">
        <v>313</v>
      </c>
      <c r="F21" s="3" t="s">
        <v>16</v>
      </c>
      <c r="G21" s="5" t="s">
        <v>212</v>
      </c>
      <c r="H21" s="3">
        <v>2</v>
      </c>
      <c r="I21" s="3">
        <v>3</v>
      </c>
      <c r="J21" s="4">
        <v>1</v>
      </c>
      <c r="K21" s="1" t="str">
        <f t="shared" si="2"/>
        <v>INSERT INTO schema_db.users (first_name,last_name,id_document,user_email,password,id_user_categories,id_companies,enabled) VALUES('first_name3','last_name3',33333333,'administrador_institucion1@gmail.com','$2a$10$lWwIDxwCw1dVipkq/29mA.Ny2nb38mj5B6BDeTheMaZXokgqo.Dh6',2,3,1);</v>
      </c>
    </row>
    <row r="22" spans="2:11" x14ac:dyDescent="0.25">
      <c r="B22" s="3">
        <v>4</v>
      </c>
      <c r="C22" s="4" t="str">
        <f t="shared" si="0"/>
        <v>first_name4</v>
      </c>
      <c r="D22" s="4" t="str">
        <f t="shared" si="1"/>
        <v>last_name4</v>
      </c>
      <c r="E22" s="4" t="s">
        <v>314</v>
      </c>
      <c r="F22" s="3" t="s">
        <v>17</v>
      </c>
      <c r="G22" s="5" t="s">
        <v>213</v>
      </c>
      <c r="H22" s="3">
        <v>2</v>
      </c>
      <c r="I22" s="3">
        <v>4</v>
      </c>
      <c r="J22" s="4">
        <v>1</v>
      </c>
      <c r="K22" s="1" t="str">
        <f t="shared" si="2"/>
        <v>INSERT INTO schema_db.users (first_name,last_name,id_document,user_email,password,id_user_categories,id_companies,enabled) VALUES('first_name4','last_name4',44444444,'administrador_institucion2@gmail.com','$2a$10$GgrDxlTc0/ua.gJwiZQJj.m9LsxMWOTLD8ysVo14I2mV4ndWEXuAO',2,4,1);</v>
      </c>
    </row>
    <row r="23" spans="2:11" x14ac:dyDescent="0.25">
      <c r="B23" s="3">
        <v>5</v>
      </c>
      <c r="C23" s="4" t="str">
        <f t="shared" si="0"/>
        <v>first_name5</v>
      </c>
      <c r="D23" s="4" t="str">
        <f t="shared" si="1"/>
        <v>last_name5</v>
      </c>
      <c r="E23" s="4" t="s">
        <v>315</v>
      </c>
      <c r="F23" s="3" t="s">
        <v>18</v>
      </c>
      <c r="G23" s="5" t="s">
        <v>214</v>
      </c>
      <c r="H23" s="3">
        <v>3</v>
      </c>
      <c r="I23" s="3">
        <v>5</v>
      </c>
      <c r="J23" s="4">
        <v>1</v>
      </c>
      <c r="K23" s="1" t="str">
        <f t="shared" si="2"/>
        <v>INSERT INTO schema_db.users (first_name,last_name,id_document,user_email,password,id_user_categories,id_companies,enabled) VALUES('first_name5','last_name5',55555555,'profesor1@gmail.com','$2a$10$FjogmyY.bHGlbJoBquAnUOjnCtI8AIZ74g1knxv.jsyzckwxwhLuO',3,5,1);</v>
      </c>
    </row>
    <row r="24" spans="2:11" x14ac:dyDescent="0.25">
      <c r="B24" s="3">
        <v>6</v>
      </c>
      <c r="C24" s="4" t="str">
        <f t="shared" si="0"/>
        <v>first_name6</v>
      </c>
      <c r="D24" s="4" t="str">
        <f t="shared" si="1"/>
        <v>last_name6</v>
      </c>
      <c r="E24" s="4" t="s">
        <v>316</v>
      </c>
      <c r="F24" s="3" t="s">
        <v>19</v>
      </c>
      <c r="G24" s="5" t="s">
        <v>215</v>
      </c>
      <c r="H24" s="3">
        <v>3</v>
      </c>
      <c r="I24" s="3">
        <v>1</v>
      </c>
      <c r="J24" s="4">
        <v>1</v>
      </c>
      <c r="K24" s="1" t="str">
        <f t="shared" si="2"/>
        <v>INSERT INTO schema_db.users (first_name,last_name,id_document,user_email,password,id_user_categories,id_companies,enabled) VALUES('first_name6','last_name6',66666666,'profesor2@gmail.com','$2a$10$y5MBDNO/oBpaXQyil1h4fuJUXZVcfLfF/gnLKCKXsi63YzSZYdI9i',3,1,1);</v>
      </c>
    </row>
    <row r="25" spans="2:11" x14ac:dyDescent="0.25">
      <c r="B25" s="3">
        <v>7</v>
      </c>
      <c r="C25" s="4" t="str">
        <f t="shared" si="0"/>
        <v>first_name7</v>
      </c>
      <c r="D25" s="4" t="str">
        <f t="shared" si="1"/>
        <v>last_name7</v>
      </c>
      <c r="E25" s="4" t="s">
        <v>317</v>
      </c>
      <c r="F25" s="3" t="s">
        <v>117</v>
      </c>
      <c r="G25" s="5" t="s">
        <v>216</v>
      </c>
      <c r="H25" s="3">
        <v>4</v>
      </c>
      <c r="I25" s="3">
        <v>3</v>
      </c>
      <c r="J25" s="4">
        <v>1</v>
      </c>
      <c r="K25" s="1" t="str">
        <f t="shared" si="2"/>
        <v>INSERT INTO schema_db.users (first_name,last_name,id_document,user_email,password,id_user_categories,id_companies,enabled) VALUES('first_name7','last_name7',77777777,'mail1@mail.com','$2a$10$JOZEPUdJIcHR0m28xJLCOehO61o/n6LM/TXHmwHN740kpix217Tyy',4,3,1);</v>
      </c>
    </row>
    <row r="26" spans="2:11" x14ac:dyDescent="0.25">
      <c r="B26" s="3">
        <v>8</v>
      </c>
      <c r="C26" s="4" t="str">
        <f t="shared" si="0"/>
        <v>first_name8</v>
      </c>
      <c r="D26" s="4" t="str">
        <f t="shared" si="1"/>
        <v>last_name8</v>
      </c>
      <c r="E26" s="4" t="s">
        <v>318</v>
      </c>
      <c r="F26" s="3" t="s">
        <v>118</v>
      </c>
      <c r="G26" s="5" t="s">
        <v>217</v>
      </c>
      <c r="H26" s="3">
        <v>4</v>
      </c>
      <c r="I26" s="3">
        <v>3</v>
      </c>
      <c r="J26" s="4">
        <v>1</v>
      </c>
      <c r="K26" s="1" t="str">
        <f t="shared" si="2"/>
        <v>INSERT INTO schema_db.users (first_name,last_name,id_document,user_email,password,id_user_categories,id_companies,enabled) VALUES('first_name8','last_name8',88888888,'mail2@mail.com','$2a$10$5FpBFG9jZgpdC6eFRttr2eV32eDm5I70xSYI.VQxFV6WN91t4V9BS',4,3,1);</v>
      </c>
    </row>
    <row r="27" spans="2:11" x14ac:dyDescent="0.25">
      <c r="B27" s="3">
        <v>9</v>
      </c>
      <c r="C27" s="4" t="str">
        <f t="shared" ref="C27" si="3">+$C$18&amp;B27</f>
        <v>first_name9</v>
      </c>
      <c r="D27" s="4" t="str">
        <f t="shared" ref="D27" si="4">+$D$18&amp;B27</f>
        <v>last_name9</v>
      </c>
      <c r="E27" s="4" t="s">
        <v>319</v>
      </c>
      <c r="F27" s="3" t="s">
        <v>119</v>
      </c>
      <c r="G27" s="5" t="s">
        <v>218</v>
      </c>
      <c r="H27" s="16">
        <v>4</v>
      </c>
      <c r="I27" s="14">
        <v>3</v>
      </c>
      <c r="J27" s="4">
        <v>1</v>
      </c>
      <c r="K27" s="1" t="str">
        <f t="shared" si="2"/>
        <v>INSERT INTO schema_db.users (first_name,last_name,id_document,user_email,password,id_user_categories,id_companies,enabled) VALUES('first_name9','last_name9',99999999,'mail3@mail.com','$2a$10$cwf5mrLDoNoqLsm8qZSKM.1kQJ.2rIdfzzT6v1YAKRd2zXJkGwYVu',4,3,1);</v>
      </c>
    </row>
    <row r="28" spans="2:11" x14ac:dyDescent="0.25">
      <c r="B28" s="3">
        <v>10</v>
      </c>
      <c r="C28" s="4" t="str">
        <f t="shared" ref="C28:C91" si="5">+$C$18&amp;B28</f>
        <v>first_name10</v>
      </c>
      <c r="D28" s="4" t="str">
        <f t="shared" ref="D28:D91" si="6">+$D$18&amp;B28</f>
        <v>last_name10</v>
      </c>
      <c r="E28" s="4" t="s">
        <v>311</v>
      </c>
      <c r="F28" s="3" t="s">
        <v>120</v>
      </c>
      <c r="G28" s="5" t="s">
        <v>219</v>
      </c>
      <c r="H28" s="3">
        <v>4</v>
      </c>
      <c r="I28" s="3">
        <v>3</v>
      </c>
      <c r="J28" s="4">
        <v>1</v>
      </c>
      <c r="K28" s="1" t="str">
        <f t="shared" si="2"/>
        <v>INSERT INTO schema_db.users (first_name,last_name,id_document,user_email,password,id_user_categories,id_companies,enabled) VALUES('first_name10','last_name10',11111111,'mail4@mail.com','$2a$10$TWdh2Q0zG/PJM838upgsF.K/jfNb4ChLXjZ27TG1pDq4ENbMRPie6',4,3,1);</v>
      </c>
    </row>
    <row r="29" spans="2:11" x14ac:dyDescent="0.25">
      <c r="B29" s="3">
        <v>11</v>
      </c>
      <c r="C29" s="4" t="str">
        <f t="shared" si="5"/>
        <v>first_name11</v>
      </c>
      <c r="D29" s="4" t="str">
        <f t="shared" si="6"/>
        <v>last_name11</v>
      </c>
      <c r="E29" s="4" t="s">
        <v>312</v>
      </c>
      <c r="F29" s="3" t="s">
        <v>121</v>
      </c>
      <c r="G29" s="5" t="s">
        <v>220</v>
      </c>
      <c r="H29" s="3">
        <v>4</v>
      </c>
      <c r="I29" s="3">
        <v>3</v>
      </c>
      <c r="J29" s="4">
        <v>1</v>
      </c>
      <c r="K29" s="1" t="str">
        <f t="shared" si="2"/>
        <v>INSERT INTO schema_db.users (first_name,last_name,id_document,user_email,password,id_user_categories,id_companies,enabled) VALUES('first_name11','last_name11',22222222,'mail5@mail.com','$2a$10$z5vty2OiU7osiNluxXNA7.1/G1QA2LkWEBc0R5hhm3vxSE/GWrPhy',4,3,1);</v>
      </c>
    </row>
    <row r="30" spans="2:11" x14ac:dyDescent="0.25">
      <c r="B30" s="3">
        <v>12</v>
      </c>
      <c r="C30" s="4" t="str">
        <f t="shared" si="5"/>
        <v>first_name12</v>
      </c>
      <c r="D30" s="4" t="str">
        <f t="shared" si="6"/>
        <v>last_name12</v>
      </c>
      <c r="E30" s="4" t="s">
        <v>313</v>
      </c>
      <c r="F30" s="3" t="s">
        <v>122</v>
      </c>
      <c r="G30" s="5" t="s">
        <v>221</v>
      </c>
      <c r="H30" s="3">
        <v>4</v>
      </c>
      <c r="I30" s="3">
        <v>3</v>
      </c>
      <c r="J30" s="4">
        <v>1</v>
      </c>
      <c r="K30" s="1" t="str">
        <f t="shared" si="2"/>
        <v>INSERT INTO schema_db.users (first_name,last_name,id_document,user_email,password,id_user_categories,id_companies,enabled) VALUES('first_name12','last_name12',33333333,'mail6@mail.com','$2a$10$lkF3dyT/hiB3tb9YxfV0Se/gv6HIZMwcWlWdTitxzyu3TEaUdu6na',4,3,1);</v>
      </c>
    </row>
    <row r="31" spans="2:11" x14ac:dyDescent="0.25">
      <c r="B31" s="3">
        <v>13</v>
      </c>
      <c r="C31" s="4" t="str">
        <f t="shared" si="5"/>
        <v>first_name13</v>
      </c>
      <c r="D31" s="4" t="str">
        <f t="shared" si="6"/>
        <v>last_name13</v>
      </c>
      <c r="E31" s="4" t="s">
        <v>314</v>
      </c>
      <c r="F31" s="3" t="s">
        <v>123</v>
      </c>
      <c r="G31" s="5" t="s">
        <v>222</v>
      </c>
      <c r="H31" s="3">
        <v>4</v>
      </c>
      <c r="I31" s="3">
        <v>3</v>
      </c>
      <c r="J31" s="4">
        <v>1</v>
      </c>
      <c r="K31" s="1" t="str">
        <f t="shared" si="2"/>
        <v>INSERT INTO schema_db.users (first_name,last_name,id_document,user_email,password,id_user_categories,id_companies,enabled) VALUES('first_name13','last_name13',44444444,'mail7@mail.com','$2a$10$OhANyRQNI3yehLzRnyyMAueedBMxgsFgxNtXvsMqBpXJOHS2VX6P.',4,3,1);</v>
      </c>
    </row>
    <row r="32" spans="2:11" x14ac:dyDescent="0.25">
      <c r="B32" s="3">
        <v>14</v>
      </c>
      <c r="C32" s="4" t="str">
        <f t="shared" si="5"/>
        <v>first_name14</v>
      </c>
      <c r="D32" s="4" t="str">
        <f t="shared" si="6"/>
        <v>last_name14</v>
      </c>
      <c r="E32" s="4" t="s">
        <v>315</v>
      </c>
      <c r="F32" s="3" t="s">
        <v>124</v>
      </c>
      <c r="G32" s="5" t="s">
        <v>223</v>
      </c>
      <c r="H32" s="3">
        <v>4</v>
      </c>
      <c r="I32" s="3">
        <v>3</v>
      </c>
      <c r="J32" s="4">
        <v>1</v>
      </c>
      <c r="K32" s="1" t="str">
        <f t="shared" si="2"/>
        <v>INSERT INTO schema_db.users (first_name,last_name,id_document,user_email,password,id_user_categories,id_companies,enabled) VALUES('first_name14','last_name14',55555555,'mail8@mail.com','$2a$10$/i8/HpJmH1Whnyl4Jgv9SOLRIk1klxm5dvRnev2xFGn3/9bd2boj6',4,3,1);</v>
      </c>
    </row>
    <row r="33" spans="2:11" x14ac:dyDescent="0.25">
      <c r="B33" s="3">
        <v>15</v>
      </c>
      <c r="C33" s="4" t="str">
        <f t="shared" si="5"/>
        <v>first_name15</v>
      </c>
      <c r="D33" s="4" t="str">
        <f t="shared" si="6"/>
        <v>last_name15</v>
      </c>
      <c r="E33" s="4" t="s">
        <v>316</v>
      </c>
      <c r="F33" s="3" t="s">
        <v>125</v>
      </c>
      <c r="G33" s="5" t="s">
        <v>224</v>
      </c>
      <c r="H33" s="3">
        <v>4</v>
      </c>
      <c r="I33" s="3">
        <v>3</v>
      </c>
      <c r="J33" s="4">
        <v>1</v>
      </c>
      <c r="K33" s="1" t="str">
        <f t="shared" si="2"/>
        <v>INSERT INTO schema_db.users (first_name,last_name,id_document,user_email,password,id_user_categories,id_companies,enabled) VALUES('first_name15','last_name15',66666666,'mail9@mail.com','$2a$10$nJqf2m0SysNIHLhUZwmfZejRtbrDwUukmWEAkCFIeAYJNlJ6gmrGa',4,3,1);</v>
      </c>
    </row>
    <row r="34" spans="2:11" x14ac:dyDescent="0.25">
      <c r="B34" s="3">
        <v>16</v>
      </c>
      <c r="C34" s="4" t="str">
        <f t="shared" si="5"/>
        <v>first_name16</v>
      </c>
      <c r="D34" s="4" t="str">
        <f t="shared" si="6"/>
        <v>last_name16</v>
      </c>
      <c r="E34" s="4" t="s">
        <v>317</v>
      </c>
      <c r="F34" s="3" t="s">
        <v>126</v>
      </c>
      <c r="G34" s="5" t="s">
        <v>225</v>
      </c>
      <c r="H34" s="3">
        <v>4</v>
      </c>
      <c r="I34" s="3">
        <v>3</v>
      </c>
      <c r="J34" s="4">
        <v>1</v>
      </c>
      <c r="K34" s="1" t="str">
        <f t="shared" si="2"/>
        <v>INSERT INTO schema_db.users (first_name,last_name,id_document,user_email,password,id_user_categories,id_companies,enabled) VALUES('first_name16','last_name16',77777777,'mail10@mail.com','$2a$10$ZTJmCiDHkSO6Hut7B/yRvuBcpyfIe/JDubk3rEeHFFDBcQGXFfzxS',4,3,1);</v>
      </c>
    </row>
    <row r="35" spans="2:11" x14ac:dyDescent="0.25">
      <c r="B35" s="3">
        <v>17</v>
      </c>
      <c r="C35" s="4" t="str">
        <f t="shared" si="5"/>
        <v>first_name17</v>
      </c>
      <c r="D35" s="4" t="str">
        <f t="shared" si="6"/>
        <v>last_name17</v>
      </c>
      <c r="E35" s="4" t="s">
        <v>318</v>
      </c>
      <c r="F35" s="3" t="s">
        <v>127</v>
      </c>
      <c r="G35" s="5" t="s">
        <v>226</v>
      </c>
      <c r="H35" s="3">
        <v>4</v>
      </c>
      <c r="I35" s="3">
        <v>3</v>
      </c>
      <c r="J35" s="4">
        <v>1</v>
      </c>
      <c r="K35" s="1" t="str">
        <f t="shared" si="2"/>
        <v>INSERT INTO schema_db.users (first_name,last_name,id_document,user_email,password,id_user_categories,id_companies,enabled) VALUES('first_name17','last_name17',88888888,'mail11@mail.com','$2a$10$S.MAnqiIm0KhytMajWwYXe9jbz1pwCYtr1zPs50Ep58.uHnkUzn6e',4,3,1);</v>
      </c>
    </row>
    <row r="36" spans="2:11" x14ac:dyDescent="0.25">
      <c r="B36" s="3">
        <v>18</v>
      </c>
      <c r="C36" s="4" t="str">
        <f t="shared" si="5"/>
        <v>first_name18</v>
      </c>
      <c r="D36" s="4" t="str">
        <f t="shared" si="6"/>
        <v>last_name18</v>
      </c>
      <c r="E36" s="4" t="s">
        <v>319</v>
      </c>
      <c r="F36" s="3" t="s">
        <v>128</v>
      </c>
      <c r="G36" s="5" t="s">
        <v>227</v>
      </c>
      <c r="H36" s="3">
        <v>4</v>
      </c>
      <c r="I36" s="3">
        <v>3</v>
      </c>
      <c r="J36" s="4">
        <v>1</v>
      </c>
      <c r="K36" s="1" t="str">
        <f t="shared" si="2"/>
        <v>INSERT INTO schema_db.users (first_name,last_name,id_document,user_email,password,id_user_categories,id_companies,enabled) VALUES('first_name18','last_name18',99999999,'mail12@mail.com','$2a$10$80xUKpv0zCK/0FLTo0xbUejHkPPeApZEH4VwXObhDI942yI4tYhf.',4,3,1);</v>
      </c>
    </row>
    <row r="37" spans="2:11" x14ac:dyDescent="0.25">
      <c r="B37" s="3">
        <v>19</v>
      </c>
      <c r="C37" s="4" t="str">
        <f t="shared" si="5"/>
        <v>first_name19</v>
      </c>
      <c r="D37" s="4" t="str">
        <f t="shared" si="6"/>
        <v>last_name19</v>
      </c>
      <c r="E37" s="4" t="s">
        <v>311</v>
      </c>
      <c r="F37" s="3" t="s">
        <v>129</v>
      </c>
      <c r="G37" s="5" t="s">
        <v>228</v>
      </c>
      <c r="H37" s="3">
        <v>4</v>
      </c>
      <c r="I37" s="3">
        <v>3</v>
      </c>
      <c r="J37" s="4">
        <v>1</v>
      </c>
      <c r="K37" s="1" t="str">
        <f t="shared" si="2"/>
        <v>INSERT INTO schema_db.users (first_name,last_name,id_document,user_email,password,id_user_categories,id_companies,enabled) VALUES('first_name19','last_name19',11111111,'mail13@mail.com','$2a$10$691o7cXLOKFdb8svXmOfRuK49eXpQDu7VXXF7Is2moesUa8/vqOLC',4,3,1);</v>
      </c>
    </row>
    <row r="38" spans="2:11" x14ac:dyDescent="0.25">
      <c r="B38" s="3">
        <v>20</v>
      </c>
      <c r="C38" s="4" t="str">
        <f t="shared" si="5"/>
        <v>first_name20</v>
      </c>
      <c r="D38" s="4" t="str">
        <f t="shared" si="6"/>
        <v>last_name20</v>
      </c>
      <c r="E38" s="4" t="s">
        <v>312</v>
      </c>
      <c r="F38" s="3" t="s">
        <v>130</v>
      </c>
      <c r="G38" s="5" t="s">
        <v>229</v>
      </c>
      <c r="H38" s="3">
        <v>4</v>
      </c>
      <c r="I38" s="3">
        <v>3</v>
      </c>
      <c r="J38" s="4">
        <v>1</v>
      </c>
      <c r="K38" s="1" t="str">
        <f t="shared" si="2"/>
        <v>INSERT INTO schema_db.users (first_name,last_name,id_document,user_email,password,id_user_categories,id_companies,enabled) VALUES('first_name20','last_name20',22222222,'mail14@mail.com','$2a$10$iFGH9mohd5Rmll2E6k3Jf.YvXljwq0hLAL21g7tg2KLcWtRSSwSSS',4,3,1);</v>
      </c>
    </row>
    <row r="39" spans="2:11" x14ac:dyDescent="0.25">
      <c r="B39" s="3">
        <v>21</v>
      </c>
      <c r="C39" s="4" t="str">
        <f t="shared" si="5"/>
        <v>first_name21</v>
      </c>
      <c r="D39" s="4" t="str">
        <f t="shared" si="6"/>
        <v>last_name21</v>
      </c>
      <c r="E39" s="4" t="s">
        <v>313</v>
      </c>
      <c r="F39" s="3" t="s">
        <v>131</v>
      </c>
      <c r="G39" s="5" t="s">
        <v>230</v>
      </c>
      <c r="H39" s="3">
        <v>4</v>
      </c>
      <c r="I39" s="3">
        <v>3</v>
      </c>
      <c r="J39" s="4">
        <v>1</v>
      </c>
      <c r="K39" s="1" t="str">
        <f t="shared" si="2"/>
        <v>INSERT INTO schema_db.users (first_name,last_name,id_document,user_email,password,id_user_categories,id_companies,enabled) VALUES('first_name21','last_name21',33333333,'mail15@mail.com','$2a$10$boJNaBvFNsz6n9rbqXMME.X5lcWFr6f36GPVxKoMsHW5lxAh00nWa',4,3,1);</v>
      </c>
    </row>
    <row r="40" spans="2:11" x14ac:dyDescent="0.25">
      <c r="B40" s="3">
        <v>22</v>
      </c>
      <c r="C40" s="4" t="str">
        <f t="shared" si="5"/>
        <v>first_name22</v>
      </c>
      <c r="D40" s="4" t="str">
        <f t="shared" si="6"/>
        <v>last_name22</v>
      </c>
      <c r="E40" s="4" t="s">
        <v>314</v>
      </c>
      <c r="F40" s="3" t="s">
        <v>132</v>
      </c>
      <c r="G40" s="5" t="s">
        <v>231</v>
      </c>
      <c r="H40" s="3">
        <v>4</v>
      </c>
      <c r="I40" s="3">
        <v>3</v>
      </c>
      <c r="J40" s="4">
        <v>1</v>
      </c>
      <c r="K40" s="1" t="str">
        <f t="shared" si="2"/>
        <v>INSERT INTO schema_db.users (first_name,last_name,id_document,user_email,password,id_user_categories,id_companies,enabled) VALUES('first_name22','last_name22',44444444,'mail16@mail.com','$2a$10$RMzI9FUsgJzMpF63yEE0Cuj45cuSjkEqP4M0zcbWT5G1kNfTbJ4Le',4,3,1);</v>
      </c>
    </row>
    <row r="41" spans="2:11" x14ac:dyDescent="0.25">
      <c r="B41" s="3">
        <v>23</v>
      </c>
      <c r="C41" s="4" t="str">
        <f t="shared" si="5"/>
        <v>first_name23</v>
      </c>
      <c r="D41" s="4" t="str">
        <f t="shared" si="6"/>
        <v>last_name23</v>
      </c>
      <c r="E41" s="4" t="s">
        <v>315</v>
      </c>
      <c r="F41" s="3" t="s">
        <v>133</v>
      </c>
      <c r="G41" s="5" t="s">
        <v>232</v>
      </c>
      <c r="H41" s="3">
        <v>4</v>
      </c>
      <c r="I41" s="3">
        <v>3</v>
      </c>
      <c r="J41" s="4">
        <v>1</v>
      </c>
      <c r="K41" s="1" t="str">
        <f t="shared" si="2"/>
        <v>INSERT INTO schema_db.users (first_name,last_name,id_document,user_email,password,id_user_categories,id_companies,enabled) VALUES('first_name23','last_name23',55555555,'mail17@mail.com','$2a$10$wYrHV3d38ZtD3BDXRpJqgOHlWaev980szh2six8Uq84ub/H04o7Uu',4,3,1);</v>
      </c>
    </row>
    <row r="42" spans="2:11" x14ac:dyDescent="0.25">
      <c r="B42" s="3">
        <v>24</v>
      </c>
      <c r="C42" s="4" t="str">
        <f t="shared" si="5"/>
        <v>first_name24</v>
      </c>
      <c r="D42" s="4" t="str">
        <f t="shared" si="6"/>
        <v>last_name24</v>
      </c>
      <c r="E42" s="4" t="s">
        <v>316</v>
      </c>
      <c r="F42" s="3" t="s">
        <v>134</v>
      </c>
      <c r="G42" s="5" t="s">
        <v>233</v>
      </c>
      <c r="H42" s="3">
        <v>4</v>
      </c>
      <c r="I42" s="3">
        <v>3</v>
      </c>
      <c r="J42" s="4">
        <v>1</v>
      </c>
      <c r="K42" s="1" t="str">
        <f t="shared" si="2"/>
        <v>INSERT INTO schema_db.users (first_name,last_name,id_document,user_email,password,id_user_categories,id_companies,enabled) VALUES('first_name24','last_name24',66666666,'mail18@mail.com','$2a$10$2a.jZPZQJxB9UKpJs/bcPeEy2URpqL.g8b/5KUsUxYIVGPioKFUkC',4,3,1);</v>
      </c>
    </row>
    <row r="43" spans="2:11" x14ac:dyDescent="0.25">
      <c r="B43" s="3">
        <v>25</v>
      </c>
      <c r="C43" s="4" t="str">
        <f t="shared" si="5"/>
        <v>first_name25</v>
      </c>
      <c r="D43" s="4" t="str">
        <f t="shared" si="6"/>
        <v>last_name25</v>
      </c>
      <c r="E43" s="4" t="s">
        <v>317</v>
      </c>
      <c r="F43" s="3" t="s">
        <v>135</v>
      </c>
      <c r="G43" s="5" t="s">
        <v>234</v>
      </c>
      <c r="H43" s="3">
        <v>4</v>
      </c>
      <c r="I43" s="3">
        <v>3</v>
      </c>
      <c r="J43" s="4">
        <v>1</v>
      </c>
      <c r="K43" s="1" t="str">
        <f t="shared" si="2"/>
        <v>INSERT INTO schema_db.users (first_name,last_name,id_document,user_email,password,id_user_categories,id_companies,enabled) VALUES('first_name25','last_name25',77777777,'mail19@mail.com','$2a$10$er0l7g0bpXQ18vPZLD5jOOlmcFeJrp6XBD8HRW/UrkTu7I8SFvXX.',4,3,1);</v>
      </c>
    </row>
    <row r="44" spans="2:11" x14ac:dyDescent="0.25">
      <c r="B44" s="3">
        <v>26</v>
      </c>
      <c r="C44" s="4" t="str">
        <f t="shared" si="5"/>
        <v>first_name26</v>
      </c>
      <c r="D44" s="4" t="str">
        <f t="shared" si="6"/>
        <v>last_name26</v>
      </c>
      <c r="E44" s="4" t="s">
        <v>318</v>
      </c>
      <c r="F44" s="3" t="s">
        <v>136</v>
      </c>
      <c r="G44" s="5" t="s">
        <v>235</v>
      </c>
      <c r="H44" s="3">
        <v>4</v>
      </c>
      <c r="I44" s="3">
        <v>3</v>
      </c>
      <c r="J44" s="4">
        <v>1</v>
      </c>
      <c r="K44" s="1" t="str">
        <f t="shared" si="2"/>
        <v>INSERT INTO schema_db.users (first_name,last_name,id_document,user_email,password,id_user_categories,id_companies,enabled) VALUES('first_name26','last_name26',88888888,'mail20@mail.com','$2a$10$q.liajUgC4mY/fnMWvwJeuKUKYM43W2dbKhz/3v/ZJLr1O1O4u6W.',4,3,1);</v>
      </c>
    </row>
    <row r="45" spans="2:11" x14ac:dyDescent="0.25">
      <c r="B45" s="3">
        <v>27</v>
      </c>
      <c r="C45" s="4" t="str">
        <f t="shared" si="5"/>
        <v>first_name27</v>
      </c>
      <c r="D45" s="4" t="str">
        <f t="shared" si="6"/>
        <v>last_name27</v>
      </c>
      <c r="E45" s="4" t="s">
        <v>319</v>
      </c>
      <c r="F45" s="3" t="s">
        <v>137</v>
      </c>
      <c r="G45" s="5" t="s">
        <v>236</v>
      </c>
      <c r="H45" s="3">
        <v>4</v>
      </c>
      <c r="I45" s="3">
        <v>3</v>
      </c>
      <c r="J45" s="4">
        <v>1</v>
      </c>
      <c r="K45" s="1" t="str">
        <f t="shared" si="2"/>
        <v>INSERT INTO schema_db.users (first_name,last_name,id_document,user_email,password,id_user_categories,id_companies,enabled) VALUES('first_name27','last_name27',99999999,'mail21@mail.com','$2a$10$yHwBr9MG/DdFZNtBoFLI..3adO.W6qfla46jT0xxwJeJLF.edzZwa',4,3,1);</v>
      </c>
    </row>
    <row r="46" spans="2:11" x14ac:dyDescent="0.25">
      <c r="B46" s="3">
        <v>28</v>
      </c>
      <c r="C46" s="4" t="str">
        <f t="shared" si="5"/>
        <v>first_name28</v>
      </c>
      <c r="D46" s="4" t="str">
        <f t="shared" si="6"/>
        <v>last_name28</v>
      </c>
      <c r="E46" s="4" t="s">
        <v>311</v>
      </c>
      <c r="F46" s="3" t="s">
        <v>138</v>
      </c>
      <c r="G46" s="5" t="s">
        <v>237</v>
      </c>
      <c r="H46" s="3">
        <v>4</v>
      </c>
      <c r="I46" s="3">
        <v>3</v>
      </c>
      <c r="J46" s="4">
        <v>1</v>
      </c>
      <c r="K46" s="1" t="str">
        <f t="shared" si="2"/>
        <v>INSERT INTO schema_db.users (first_name,last_name,id_document,user_email,password,id_user_categories,id_companies,enabled) VALUES('first_name28','last_name28',11111111,'mail22@mail.com','$2a$10$JQyDiTYxOJIWyBMnr59M2.HqcQkGKq3XK5ji.BYM4PyxqO.uhRB1.',4,3,1);</v>
      </c>
    </row>
    <row r="47" spans="2:11" x14ac:dyDescent="0.25">
      <c r="B47" s="3">
        <v>29</v>
      </c>
      <c r="C47" s="4" t="str">
        <f t="shared" si="5"/>
        <v>first_name29</v>
      </c>
      <c r="D47" s="4" t="str">
        <f t="shared" si="6"/>
        <v>last_name29</v>
      </c>
      <c r="E47" s="4" t="s">
        <v>312</v>
      </c>
      <c r="F47" s="3" t="s">
        <v>139</v>
      </c>
      <c r="G47" s="5" t="s">
        <v>238</v>
      </c>
      <c r="H47" s="3">
        <v>4</v>
      </c>
      <c r="I47" s="3">
        <v>3</v>
      </c>
      <c r="J47" s="4">
        <v>1</v>
      </c>
      <c r="K47" s="1" t="str">
        <f t="shared" si="2"/>
        <v>INSERT INTO schema_db.users (first_name,last_name,id_document,user_email,password,id_user_categories,id_companies,enabled) VALUES('first_name29','last_name29',22222222,'mail23@mail.com','$2a$10$XvLVz7fmz6XlZdAikUVY5.ldlGUhNKlSR7tTT0PeGnv208AGeoJfC',4,3,1);</v>
      </c>
    </row>
    <row r="48" spans="2:11" x14ac:dyDescent="0.25">
      <c r="B48" s="3">
        <v>30</v>
      </c>
      <c r="C48" s="4" t="str">
        <f t="shared" si="5"/>
        <v>first_name30</v>
      </c>
      <c r="D48" s="4" t="str">
        <f t="shared" si="6"/>
        <v>last_name30</v>
      </c>
      <c r="E48" s="4" t="s">
        <v>313</v>
      </c>
      <c r="F48" s="3" t="s">
        <v>140</v>
      </c>
      <c r="G48" s="5" t="s">
        <v>239</v>
      </c>
      <c r="H48" s="3">
        <v>4</v>
      </c>
      <c r="I48" s="3">
        <v>3</v>
      </c>
      <c r="J48" s="4">
        <v>1</v>
      </c>
      <c r="K48" s="1" t="str">
        <f t="shared" si="2"/>
        <v>INSERT INTO schema_db.users (first_name,last_name,id_document,user_email,password,id_user_categories,id_companies,enabled) VALUES('first_name30','last_name30',33333333,'mail24@mail.com','$2a$10$QdxoEAWqNkTx8R.E/MS1eesBTutBCNpnjMO0TtLxj/bSRvyqz05zG',4,3,1);</v>
      </c>
    </row>
    <row r="49" spans="2:11" x14ac:dyDescent="0.25">
      <c r="B49" s="3">
        <v>31</v>
      </c>
      <c r="C49" s="4" t="str">
        <f t="shared" si="5"/>
        <v>first_name31</v>
      </c>
      <c r="D49" s="4" t="str">
        <f t="shared" si="6"/>
        <v>last_name31</v>
      </c>
      <c r="E49" s="4" t="s">
        <v>314</v>
      </c>
      <c r="F49" s="3" t="s">
        <v>141</v>
      </c>
      <c r="G49" s="5" t="s">
        <v>240</v>
      </c>
      <c r="H49" s="3">
        <v>4</v>
      </c>
      <c r="I49" s="3">
        <v>3</v>
      </c>
      <c r="J49" s="4">
        <v>1</v>
      </c>
      <c r="K49" s="1" t="str">
        <f t="shared" si="2"/>
        <v>INSERT INTO schema_db.users (first_name,last_name,id_document,user_email,password,id_user_categories,id_companies,enabled) VALUES('first_name31','last_name31',44444444,'mail25@mail.com','$2a$10$UVmUm.s3ff1jLak7/zxTCO3vBvxFw.HWPiWqa6KCU1tRjEsbCKJJq',4,3,1);</v>
      </c>
    </row>
    <row r="50" spans="2:11" x14ac:dyDescent="0.25">
      <c r="B50" s="3">
        <v>32</v>
      </c>
      <c r="C50" s="4" t="str">
        <f t="shared" si="5"/>
        <v>first_name32</v>
      </c>
      <c r="D50" s="4" t="str">
        <f t="shared" si="6"/>
        <v>last_name32</v>
      </c>
      <c r="E50" s="4" t="s">
        <v>315</v>
      </c>
      <c r="F50" s="3" t="s">
        <v>142</v>
      </c>
      <c r="G50" s="5" t="s">
        <v>241</v>
      </c>
      <c r="H50" s="3">
        <v>4</v>
      </c>
      <c r="I50" s="3">
        <v>3</v>
      </c>
      <c r="J50" s="4">
        <v>1</v>
      </c>
      <c r="K50" s="1" t="str">
        <f t="shared" si="2"/>
        <v>INSERT INTO schema_db.users (first_name,last_name,id_document,user_email,password,id_user_categories,id_companies,enabled) VALUES('first_name32','last_name32',55555555,'mail26@mail.com','$2a$10$Pha.R9tkC1SJ5xh7R1Q4muevduEq9rkObcaOf/NGtC2vUHcX0u7Fe',4,3,1);</v>
      </c>
    </row>
    <row r="51" spans="2:11" x14ac:dyDescent="0.25">
      <c r="B51" s="3">
        <v>33</v>
      </c>
      <c r="C51" s="4" t="str">
        <f t="shared" si="5"/>
        <v>first_name33</v>
      </c>
      <c r="D51" s="4" t="str">
        <f t="shared" si="6"/>
        <v>last_name33</v>
      </c>
      <c r="E51" s="4" t="s">
        <v>316</v>
      </c>
      <c r="F51" s="3" t="s">
        <v>143</v>
      </c>
      <c r="G51" s="5" t="s">
        <v>242</v>
      </c>
      <c r="H51" s="3">
        <v>4</v>
      </c>
      <c r="I51" s="3">
        <v>3</v>
      </c>
      <c r="J51" s="4">
        <v>1</v>
      </c>
      <c r="K51" s="1" t="str">
        <f t="shared" si="2"/>
        <v>INSERT INTO schema_db.users (first_name,last_name,id_document,user_email,password,id_user_categories,id_companies,enabled) VALUES('first_name33','last_name33',66666666,'mail27@mail.com','$2a$10$dkaxIcwUfyCMOblM09erxeThFWoSd7bDreqIl1ifvSH/HO2LrJ.wO',4,3,1);</v>
      </c>
    </row>
    <row r="52" spans="2:11" x14ac:dyDescent="0.25">
      <c r="B52" s="3">
        <v>34</v>
      </c>
      <c r="C52" s="4" t="str">
        <f t="shared" si="5"/>
        <v>first_name34</v>
      </c>
      <c r="D52" s="4" t="str">
        <f t="shared" si="6"/>
        <v>last_name34</v>
      </c>
      <c r="E52" s="4" t="s">
        <v>317</v>
      </c>
      <c r="F52" s="3" t="s">
        <v>144</v>
      </c>
      <c r="G52" s="5" t="s">
        <v>243</v>
      </c>
      <c r="H52" s="3">
        <v>4</v>
      </c>
      <c r="I52" s="3">
        <v>3</v>
      </c>
      <c r="J52" s="4">
        <v>1</v>
      </c>
      <c r="K52" s="1" t="str">
        <f t="shared" si="2"/>
        <v>INSERT INTO schema_db.users (first_name,last_name,id_document,user_email,password,id_user_categories,id_companies,enabled) VALUES('first_name34','last_name34',77777777,'mail28@mail.com','$2a$10$5VRwUGVsanwe5uR4Q1AHKOcLxOAst/R3.5tfkVTvUiaG9OscBEvvm',4,3,1);</v>
      </c>
    </row>
    <row r="53" spans="2:11" x14ac:dyDescent="0.25">
      <c r="B53" s="3">
        <v>35</v>
      </c>
      <c r="C53" s="4" t="str">
        <f t="shared" si="5"/>
        <v>first_name35</v>
      </c>
      <c r="D53" s="4" t="str">
        <f t="shared" si="6"/>
        <v>last_name35</v>
      </c>
      <c r="E53" s="4" t="s">
        <v>318</v>
      </c>
      <c r="F53" s="3" t="s">
        <v>145</v>
      </c>
      <c r="G53" s="5" t="s">
        <v>244</v>
      </c>
      <c r="H53" s="3">
        <v>4</v>
      </c>
      <c r="I53" s="3">
        <v>3</v>
      </c>
      <c r="J53" s="4">
        <v>1</v>
      </c>
      <c r="K53" s="1" t="str">
        <f t="shared" si="2"/>
        <v>INSERT INTO schema_db.users (first_name,last_name,id_document,user_email,password,id_user_categories,id_companies,enabled) VALUES('first_name35','last_name35',88888888,'mail29@mail.com','$2a$10$Q2q/IQKYPi.Nt3I0NiLJEe.dUAS7C99Q5Bg4pikoWW5xyehttGXeG',4,3,1);</v>
      </c>
    </row>
    <row r="54" spans="2:11" x14ac:dyDescent="0.25">
      <c r="B54" s="3">
        <v>36</v>
      </c>
      <c r="C54" s="4" t="str">
        <f t="shared" si="5"/>
        <v>first_name36</v>
      </c>
      <c r="D54" s="4" t="str">
        <f t="shared" si="6"/>
        <v>last_name36</v>
      </c>
      <c r="E54" s="4" t="s">
        <v>319</v>
      </c>
      <c r="F54" s="3" t="s">
        <v>146</v>
      </c>
      <c r="G54" s="5" t="s">
        <v>245</v>
      </c>
      <c r="H54" s="3">
        <v>4</v>
      </c>
      <c r="I54" s="3">
        <v>3</v>
      </c>
      <c r="J54" s="4">
        <v>1</v>
      </c>
      <c r="K54" s="1" t="str">
        <f t="shared" si="2"/>
        <v>INSERT INTO schema_db.users (first_name,last_name,id_document,user_email,password,id_user_categories,id_companies,enabled) VALUES('first_name36','last_name36',99999999,'mail30@mail.com','$2a$10$7QGy8BK3QOD./nOKjSD86O4nRacibmbWxS9oUr5GWSMec0pY60fSu',4,3,1);</v>
      </c>
    </row>
    <row r="55" spans="2:11" x14ac:dyDescent="0.25">
      <c r="B55" s="3">
        <v>37</v>
      </c>
      <c r="C55" s="4" t="str">
        <f t="shared" si="5"/>
        <v>first_name37</v>
      </c>
      <c r="D55" s="4" t="str">
        <f t="shared" si="6"/>
        <v>last_name37</v>
      </c>
      <c r="E55" s="4" t="s">
        <v>311</v>
      </c>
      <c r="F55" s="3" t="s">
        <v>147</v>
      </c>
      <c r="G55" s="5" t="s">
        <v>246</v>
      </c>
      <c r="H55" s="3">
        <v>4</v>
      </c>
      <c r="I55" s="3">
        <v>3</v>
      </c>
      <c r="J55" s="4">
        <v>1</v>
      </c>
      <c r="K55" s="1" t="str">
        <f t="shared" si="2"/>
        <v>INSERT INTO schema_db.users (first_name,last_name,id_document,user_email,password,id_user_categories,id_companies,enabled) VALUES('first_name37','last_name37',11111111,'mail31@mail.com','$2a$10$G6LOed4mniBPykl78Z9LCeSAQyJWxAU3zjDfGniYR36RDvrj1dqzm',4,3,1);</v>
      </c>
    </row>
    <row r="56" spans="2:11" x14ac:dyDescent="0.25">
      <c r="B56" s="3">
        <v>38</v>
      </c>
      <c r="C56" s="4" t="str">
        <f t="shared" si="5"/>
        <v>first_name38</v>
      </c>
      <c r="D56" s="4" t="str">
        <f t="shared" si="6"/>
        <v>last_name38</v>
      </c>
      <c r="E56" s="4" t="s">
        <v>312</v>
      </c>
      <c r="F56" s="3" t="s">
        <v>148</v>
      </c>
      <c r="G56" s="5" t="s">
        <v>247</v>
      </c>
      <c r="H56" s="3">
        <v>4</v>
      </c>
      <c r="I56" s="3">
        <v>3</v>
      </c>
      <c r="J56" s="4">
        <v>1</v>
      </c>
      <c r="K56" s="1" t="str">
        <f t="shared" si="2"/>
        <v>INSERT INTO schema_db.users (first_name,last_name,id_document,user_email,password,id_user_categories,id_companies,enabled) VALUES('first_name38','last_name38',22222222,'mail32@mail.com','$2a$10$F9BeQdJDLUM7fCOXRnjDGuTS.y1UE46aTYF4TwmDTP59a0KJJP4wK',4,3,1);</v>
      </c>
    </row>
    <row r="57" spans="2:11" x14ac:dyDescent="0.25">
      <c r="B57" s="3">
        <v>39</v>
      </c>
      <c r="C57" s="4" t="str">
        <f t="shared" si="5"/>
        <v>first_name39</v>
      </c>
      <c r="D57" s="4" t="str">
        <f t="shared" si="6"/>
        <v>last_name39</v>
      </c>
      <c r="E57" s="4" t="s">
        <v>313</v>
      </c>
      <c r="F57" s="3" t="s">
        <v>149</v>
      </c>
      <c r="G57" s="5" t="s">
        <v>248</v>
      </c>
      <c r="H57" s="3">
        <v>4</v>
      </c>
      <c r="I57" s="3">
        <v>3</v>
      </c>
      <c r="J57" s="4">
        <v>1</v>
      </c>
      <c r="K57" s="1" t="str">
        <f t="shared" si="2"/>
        <v>INSERT INTO schema_db.users (first_name,last_name,id_document,user_email,password,id_user_categories,id_companies,enabled) VALUES('first_name39','last_name39',33333333,'mail33@mail.com','$2a$10$lRz.wzuAH7vmLGDGXybfU./YsFmXoL2WcAIObwT8pmRh1yJRIL1F.',4,3,1);</v>
      </c>
    </row>
    <row r="58" spans="2:11" x14ac:dyDescent="0.25">
      <c r="B58" s="3">
        <v>40</v>
      </c>
      <c r="C58" s="4" t="str">
        <f t="shared" si="5"/>
        <v>first_name40</v>
      </c>
      <c r="D58" s="4" t="str">
        <f t="shared" si="6"/>
        <v>last_name40</v>
      </c>
      <c r="E58" s="4" t="s">
        <v>314</v>
      </c>
      <c r="F58" s="3" t="s">
        <v>150</v>
      </c>
      <c r="G58" s="5" t="s">
        <v>249</v>
      </c>
      <c r="H58" s="3">
        <v>4</v>
      </c>
      <c r="I58" s="3">
        <v>3</v>
      </c>
      <c r="J58" s="4">
        <v>1</v>
      </c>
      <c r="K58" s="1" t="str">
        <f t="shared" si="2"/>
        <v>INSERT INTO schema_db.users (first_name,last_name,id_document,user_email,password,id_user_categories,id_companies,enabled) VALUES('first_name40','last_name40',44444444,'mail34@mail.com','$2a$10$2FtcL9uQyInpYKCBiRWAIup.h8g7yldALlHpT2daX1l8UzuRUON4S',4,3,1);</v>
      </c>
    </row>
    <row r="59" spans="2:11" x14ac:dyDescent="0.25">
      <c r="B59" s="3">
        <v>41</v>
      </c>
      <c r="C59" s="4" t="str">
        <f t="shared" si="5"/>
        <v>first_name41</v>
      </c>
      <c r="D59" s="4" t="str">
        <f t="shared" si="6"/>
        <v>last_name41</v>
      </c>
      <c r="E59" s="4" t="s">
        <v>315</v>
      </c>
      <c r="F59" s="3" t="s">
        <v>151</v>
      </c>
      <c r="G59" s="5" t="s">
        <v>250</v>
      </c>
      <c r="H59" s="3">
        <v>4</v>
      </c>
      <c r="I59" s="3">
        <v>3</v>
      </c>
      <c r="J59" s="4">
        <v>1</v>
      </c>
      <c r="K59" s="1" t="str">
        <f t="shared" si="2"/>
        <v>INSERT INTO schema_db.users (first_name,last_name,id_document,user_email,password,id_user_categories,id_companies,enabled) VALUES('first_name41','last_name41',55555555,'mail35@mail.com','$2a$10$45QeNLn1nc8n62m4cTgRJePgQGSw6RmoDaAcFt7duemTTNXVe5DIO',4,3,1);</v>
      </c>
    </row>
    <row r="60" spans="2:11" x14ac:dyDescent="0.25">
      <c r="B60" s="3">
        <v>42</v>
      </c>
      <c r="C60" s="4" t="str">
        <f t="shared" si="5"/>
        <v>first_name42</v>
      </c>
      <c r="D60" s="4" t="str">
        <f t="shared" si="6"/>
        <v>last_name42</v>
      </c>
      <c r="E60" s="4" t="s">
        <v>316</v>
      </c>
      <c r="F60" s="3" t="s">
        <v>152</v>
      </c>
      <c r="G60" s="5" t="s">
        <v>251</v>
      </c>
      <c r="H60" s="3">
        <v>4</v>
      </c>
      <c r="I60" s="3">
        <v>3</v>
      </c>
      <c r="J60" s="4">
        <v>1</v>
      </c>
      <c r="K60" s="1" t="str">
        <f t="shared" si="2"/>
        <v>INSERT INTO schema_db.users (first_name,last_name,id_document,user_email,password,id_user_categories,id_companies,enabled) VALUES('first_name42','last_name42',66666666,'mail36@mail.com','$2a$10$CdRr8ODyeDZfLdjQGe6Fje.bCP1APRsPk6kriToF/D1jG79hwk/0u',4,3,1);</v>
      </c>
    </row>
    <row r="61" spans="2:11" x14ac:dyDescent="0.25">
      <c r="B61" s="3">
        <v>43</v>
      </c>
      <c r="C61" s="4" t="str">
        <f t="shared" si="5"/>
        <v>first_name43</v>
      </c>
      <c r="D61" s="4" t="str">
        <f t="shared" si="6"/>
        <v>last_name43</v>
      </c>
      <c r="E61" s="4" t="s">
        <v>317</v>
      </c>
      <c r="F61" s="3" t="s">
        <v>153</v>
      </c>
      <c r="G61" s="5" t="s">
        <v>252</v>
      </c>
      <c r="H61" s="3">
        <v>4</v>
      </c>
      <c r="I61" s="3">
        <v>3</v>
      </c>
      <c r="J61" s="4">
        <v>1</v>
      </c>
      <c r="K61" s="1" t="str">
        <f t="shared" si="2"/>
        <v>INSERT INTO schema_db.users (first_name,last_name,id_document,user_email,password,id_user_categories,id_companies,enabled) VALUES('first_name43','last_name43',77777777,'mail37@mail.com','$2a$10$UoQFUeS7aj97YXXO/93dLuDxHJYtyktff1BlqY8ed/HRu/fYLzW3u',4,3,1);</v>
      </c>
    </row>
    <row r="62" spans="2:11" x14ac:dyDescent="0.25">
      <c r="B62" s="3">
        <v>44</v>
      </c>
      <c r="C62" s="4" t="str">
        <f t="shared" si="5"/>
        <v>first_name44</v>
      </c>
      <c r="D62" s="4" t="str">
        <f t="shared" si="6"/>
        <v>last_name44</v>
      </c>
      <c r="E62" s="4" t="s">
        <v>318</v>
      </c>
      <c r="F62" s="3" t="s">
        <v>154</v>
      </c>
      <c r="G62" s="5" t="s">
        <v>253</v>
      </c>
      <c r="H62" s="3">
        <v>4</v>
      </c>
      <c r="I62" s="3">
        <v>3</v>
      </c>
      <c r="J62" s="4">
        <v>1</v>
      </c>
      <c r="K62" s="1" t="str">
        <f t="shared" si="2"/>
        <v>INSERT INTO schema_db.users (first_name,last_name,id_document,user_email,password,id_user_categories,id_companies,enabled) VALUES('first_name44','last_name44',88888888,'mail38@mail.com','$2a$10$OgGGAB3UfGQKSCOJ11GopuWLSYcSsRw6U4cCmHPefQW2seDKivCbi',4,3,1);</v>
      </c>
    </row>
    <row r="63" spans="2:11" x14ac:dyDescent="0.25">
      <c r="B63" s="3">
        <v>45</v>
      </c>
      <c r="C63" s="4" t="str">
        <f t="shared" si="5"/>
        <v>first_name45</v>
      </c>
      <c r="D63" s="4" t="str">
        <f t="shared" si="6"/>
        <v>last_name45</v>
      </c>
      <c r="E63" s="4" t="s">
        <v>319</v>
      </c>
      <c r="F63" s="3" t="s">
        <v>155</v>
      </c>
      <c r="G63" s="5" t="s">
        <v>254</v>
      </c>
      <c r="H63" s="3">
        <v>4</v>
      </c>
      <c r="I63" s="3">
        <v>3</v>
      </c>
      <c r="J63" s="4">
        <v>1</v>
      </c>
      <c r="K63" s="1" t="str">
        <f t="shared" si="2"/>
        <v>INSERT INTO schema_db.users (first_name,last_name,id_document,user_email,password,id_user_categories,id_companies,enabled) VALUES('first_name45','last_name45',99999999,'mail39@mail.com','$2a$10$EZT/AZI3ly7C2fswUWIhRuTcce1RcgWoao4KvC4QuiMcifczLyBKW',4,3,1);</v>
      </c>
    </row>
    <row r="64" spans="2:11" x14ac:dyDescent="0.25">
      <c r="B64" s="3">
        <v>46</v>
      </c>
      <c r="C64" s="4" t="str">
        <f t="shared" si="5"/>
        <v>first_name46</v>
      </c>
      <c r="D64" s="4" t="str">
        <f t="shared" si="6"/>
        <v>last_name46</v>
      </c>
      <c r="E64" s="4" t="s">
        <v>311</v>
      </c>
      <c r="F64" s="3" t="s">
        <v>156</v>
      </c>
      <c r="G64" s="5" t="s">
        <v>255</v>
      </c>
      <c r="H64" s="3">
        <v>4</v>
      </c>
      <c r="I64" s="3">
        <v>3</v>
      </c>
      <c r="J64" s="4">
        <v>1</v>
      </c>
      <c r="K64" s="1" t="str">
        <f t="shared" si="2"/>
        <v>INSERT INTO schema_db.users (first_name,last_name,id_document,user_email,password,id_user_categories,id_companies,enabled) VALUES('first_name46','last_name46',11111111,'mail40@mail.com','$2a$10$f6fzshhDvM339RXZQNM1celF1MnCpQWO6hazVPN6i.f33G15U6Gji',4,3,1);</v>
      </c>
    </row>
    <row r="65" spans="2:11" x14ac:dyDescent="0.25">
      <c r="B65" s="3">
        <v>47</v>
      </c>
      <c r="C65" s="4" t="str">
        <f t="shared" si="5"/>
        <v>first_name47</v>
      </c>
      <c r="D65" s="4" t="str">
        <f t="shared" si="6"/>
        <v>last_name47</v>
      </c>
      <c r="E65" s="4" t="s">
        <v>312</v>
      </c>
      <c r="F65" s="3" t="s">
        <v>157</v>
      </c>
      <c r="G65" s="5" t="s">
        <v>256</v>
      </c>
      <c r="H65" s="3">
        <v>4</v>
      </c>
      <c r="I65" s="3">
        <v>3</v>
      </c>
      <c r="J65" s="4">
        <v>1</v>
      </c>
      <c r="K65" s="1" t="str">
        <f t="shared" si="2"/>
        <v>INSERT INTO schema_db.users (first_name,last_name,id_document,user_email,password,id_user_categories,id_companies,enabled) VALUES('first_name47','last_name47',22222222,'mail41@mail.com','$2a$10$WWq.jgEgW5UtKFeAzSuj5e19V5GZvwc1crG4FA/0Mc/3us3HX.T2G',4,3,1);</v>
      </c>
    </row>
    <row r="66" spans="2:11" x14ac:dyDescent="0.25">
      <c r="B66" s="3">
        <v>48</v>
      </c>
      <c r="C66" s="4" t="str">
        <f t="shared" si="5"/>
        <v>first_name48</v>
      </c>
      <c r="D66" s="4" t="str">
        <f t="shared" si="6"/>
        <v>last_name48</v>
      </c>
      <c r="E66" s="4" t="s">
        <v>313</v>
      </c>
      <c r="F66" s="3" t="s">
        <v>158</v>
      </c>
      <c r="G66" s="5" t="s">
        <v>257</v>
      </c>
      <c r="H66" s="3">
        <v>4</v>
      </c>
      <c r="I66" s="3">
        <v>1</v>
      </c>
      <c r="J66" s="4">
        <v>1</v>
      </c>
      <c r="K66" s="1" t="str">
        <f t="shared" si="2"/>
        <v>INSERT INTO schema_db.users (first_name,last_name,id_document,user_email,password,id_user_categories,id_companies,enabled) VALUES('first_name48','last_name48',33333333,'mail42@mail.com','$2a$10$oEQGaYZ7g33uNDcV1iiRIe0nwuzj5G/UYVwl8.9P8EU.9..YfLdwq',4,1,1);</v>
      </c>
    </row>
    <row r="67" spans="2:11" x14ac:dyDescent="0.25">
      <c r="B67" s="3">
        <v>49</v>
      </c>
      <c r="C67" s="4" t="str">
        <f t="shared" si="5"/>
        <v>first_name49</v>
      </c>
      <c r="D67" s="4" t="str">
        <f t="shared" si="6"/>
        <v>last_name49</v>
      </c>
      <c r="E67" s="4" t="s">
        <v>314</v>
      </c>
      <c r="F67" s="3" t="s">
        <v>159</v>
      </c>
      <c r="G67" s="5" t="s">
        <v>258</v>
      </c>
      <c r="H67" s="3">
        <v>4</v>
      </c>
      <c r="I67" s="3">
        <v>1</v>
      </c>
      <c r="J67" s="4">
        <v>1</v>
      </c>
      <c r="K67" s="1" t="str">
        <f t="shared" si="2"/>
        <v>INSERT INTO schema_db.users (first_name,last_name,id_document,user_email,password,id_user_categories,id_companies,enabled) VALUES('first_name49','last_name49',44444444,'mail43@mail.com','$2a$10$fXXOR6k.D2/9l8PMwlngM.O9N0OPPgUW81PDox9p8CCyEz0UTJq4C',4,1,1);</v>
      </c>
    </row>
    <row r="68" spans="2:11" x14ac:dyDescent="0.25">
      <c r="B68" s="3">
        <v>50</v>
      </c>
      <c r="C68" s="4" t="str">
        <f t="shared" si="5"/>
        <v>first_name50</v>
      </c>
      <c r="D68" s="4" t="str">
        <f t="shared" si="6"/>
        <v>last_name50</v>
      </c>
      <c r="E68" s="4" t="s">
        <v>315</v>
      </c>
      <c r="F68" s="3" t="s">
        <v>160</v>
      </c>
      <c r="G68" s="5" t="s">
        <v>259</v>
      </c>
      <c r="H68" s="3">
        <v>4</v>
      </c>
      <c r="I68" s="3">
        <v>1</v>
      </c>
      <c r="J68" s="4">
        <v>1</v>
      </c>
      <c r="K68" s="1" t="str">
        <f t="shared" si="2"/>
        <v>INSERT INTO schema_db.users (first_name,last_name,id_document,user_email,password,id_user_categories,id_companies,enabled) VALUES('first_name50','last_name50',55555555,'mail44@mail.com','$2a$10$l6Nkdi5p41xJJ0peK5Z7JuyjbrZ/6dNW/pyepv0ZuqycAbZHh15Qm',4,1,1);</v>
      </c>
    </row>
    <row r="69" spans="2:11" x14ac:dyDescent="0.25">
      <c r="B69" s="3">
        <v>51</v>
      </c>
      <c r="C69" s="4" t="str">
        <f t="shared" si="5"/>
        <v>first_name51</v>
      </c>
      <c r="D69" s="4" t="str">
        <f t="shared" si="6"/>
        <v>last_name51</v>
      </c>
      <c r="E69" s="4" t="s">
        <v>316</v>
      </c>
      <c r="F69" s="3" t="s">
        <v>161</v>
      </c>
      <c r="G69" s="5" t="s">
        <v>260</v>
      </c>
      <c r="H69" s="3">
        <v>4</v>
      </c>
      <c r="I69" s="3">
        <v>1</v>
      </c>
      <c r="J69" s="4">
        <v>1</v>
      </c>
      <c r="K69" s="1" t="str">
        <f t="shared" si="2"/>
        <v>INSERT INTO schema_db.users (first_name,last_name,id_document,user_email,password,id_user_categories,id_companies,enabled) VALUES('first_name51','last_name51',66666666,'mail45@mail.com','$2a$10$4KoF6cy5W7mzxTdhYAfqEOpfoRverjiCwIU0XKflr2KJCMc6jJa4S',4,1,1);</v>
      </c>
    </row>
    <row r="70" spans="2:11" x14ac:dyDescent="0.25">
      <c r="B70" s="3">
        <v>52</v>
      </c>
      <c r="C70" s="4" t="str">
        <f t="shared" si="5"/>
        <v>first_name52</v>
      </c>
      <c r="D70" s="4" t="str">
        <f t="shared" si="6"/>
        <v>last_name52</v>
      </c>
      <c r="E70" s="4" t="s">
        <v>317</v>
      </c>
      <c r="F70" s="3" t="s">
        <v>162</v>
      </c>
      <c r="G70" s="5" t="s">
        <v>261</v>
      </c>
      <c r="H70" s="3">
        <v>4</v>
      </c>
      <c r="I70" s="3">
        <v>1</v>
      </c>
      <c r="J70" s="4">
        <v>1</v>
      </c>
      <c r="K70" s="1" t="str">
        <f t="shared" si="2"/>
        <v>INSERT INTO schema_db.users (first_name,last_name,id_document,user_email,password,id_user_categories,id_companies,enabled) VALUES('first_name52','last_name52',77777777,'mail46@mail.com','$2a$10$Rf4jxrgVETc1jQGTvTwOBeQaisnXUCQ7Fp7qh0yR7nq5K8b/zRJhC',4,1,1);</v>
      </c>
    </row>
    <row r="71" spans="2:11" x14ac:dyDescent="0.25">
      <c r="B71" s="3">
        <v>53</v>
      </c>
      <c r="C71" s="4" t="str">
        <f t="shared" si="5"/>
        <v>first_name53</v>
      </c>
      <c r="D71" s="4" t="str">
        <f t="shared" si="6"/>
        <v>last_name53</v>
      </c>
      <c r="E71" s="4" t="s">
        <v>318</v>
      </c>
      <c r="F71" s="3" t="s">
        <v>163</v>
      </c>
      <c r="G71" s="5" t="s">
        <v>262</v>
      </c>
      <c r="H71" s="3">
        <v>4</v>
      </c>
      <c r="I71" s="3">
        <v>1</v>
      </c>
      <c r="J71" s="4">
        <v>1</v>
      </c>
      <c r="K71" s="1" t="str">
        <f t="shared" si="2"/>
        <v>INSERT INTO schema_db.users (first_name,last_name,id_document,user_email,password,id_user_categories,id_companies,enabled) VALUES('first_name53','last_name53',88888888,'mail47@mail.com','$2a$10$bG9b0SUiWG2G0dTju.O3kuZ/ULoLbzH0RjUaPiWd4tfiSsDMVwohm',4,1,1);</v>
      </c>
    </row>
    <row r="72" spans="2:11" x14ac:dyDescent="0.25">
      <c r="B72" s="3">
        <v>54</v>
      </c>
      <c r="C72" s="4" t="str">
        <f t="shared" si="5"/>
        <v>first_name54</v>
      </c>
      <c r="D72" s="4" t="str">
        <f t="shared" si="6"/>
        <v>last_name54</v>
      </c>
      <c r="E72" s="4" t="s">
        <v>319</v>
      </c>
      <c r="F72" s="3" t="s">
        <v>164</v>
      </c>
      <c r="G72" s="5" t="s">
        <v>263</v>
      </c>
      <c r="H72" s="3">
        <v>4</v>
      </c>
      <c r="I72" s="3">
        <v>1</v>
      </c>
      <c r="J72" s="4">
        <v>1</v>
      </c>
      <c r="K72" s="1" t="str">
        <f t="shared" si="2"/>
        <v>INSERT INTO schema_db.users (first_name,last_name,id_document,user_email,password,id_user_categories,id_companies,enabled) VALUES('first_name54','last_name54',99999999,'mail48@mail.com','$2a$10$OavDu63zlxXU2iDX6/i4Y.11ctArL7nfTzSe6FTNYdDPOhNUL3DMe',4,1,1);</v>
      </c>
    </row>
    <row r="73" spans="2:11" x14ac:dyDescent="0.25">
      <c r="B73" s="3">
        <v>55</v>
      </c>
      <c r="C73" s="4" t="str">
        <f t="shared" si="5"/>
        <v>first_name55</v>
      </c>
      <c r="D73" s="4" t="str">
        <f t="shared" si="6"/>
        <v>last_name55</v>
      </c>
      <c r="E73" s="4" t="s">
        <v>311</v>
      </c>
      <c r="F73" s="3" t="s">
        <v>165</v>
      </c>
      <c r="G73" s="5" t="s">
        <v>264</v>
      </c>
      <c r="H73" s="3">
        <v>4</v>
      </c>
      <c r="I73" s="3">
        <v>1</v>
      </c>
      <c r="J73" s="4">
        <v>1</v>
      </c>
      <c r="K73" s="1" t="str">
        <f t="shared" si="2"/>
        <v>INSERT INTO schema_db.users (first_name,last_name,id_document,user_email,password,id_user_categories,id_companies,enabled) VALUES('first_name55','last_name55',11111111,'mail49@mail.com','$2a$10$/Wu6fUuKiMAB6JQyAt4IPOJURIn3PsJp726t7tKY/9P0l/6VKtkaS',4,1,1);</v>
      </c>
    </row>
    <row r="74" spans="2:11" x14ac:dyDescent="0.25">
      <c r="B74" s="3">
        <v>56</v>
      </c>
      <c r="C74" s="4" t="str">
        <f t="shared" si="5"/>
        <v>first_name56</v>
      </c>
      <c r="D74" s="4" t="str">
        <f t="shared" si="6"/>
        <v>last_name56</v>
      </c>
      <c r="E74" s="4" t="s">
        <v>312</v>
      </c>
      <c r="F74" s="3" t="s">
        <v>166</v>
      </c>
      <c r="G74" s="5" t="s">
        <v>265</v>
      </c>
      <c r="H74" s="3">
        <v>4</v>
      </c>
      <c r="I74" s="3">
        <v>1</v>
      </c>
      <c r="J74" s="4">
        <v>1</v>
      </c>
      <c r="K74" s="1" t="str">
        <f t="shared" si="2"/>
        <v>INSERT INTO schema_db.users (first_name,last_name,id_document,user_email,password,id_user_categories,id_companies,enabled) VALUES('first_name56','last_name56',22222222,'mail50@mail.com','$2a$10$UOHtNGVPjNtiX1lHkOE/QOfY1HHiO3wIs9liWJoCaPjj/LBd6kY1a',4,1,1);</v>
      </c>
    </row>
    <row r="75" spans="2:11" x14ac:dyDescent="0.25">
      <c r="B75" s="3">
        <v>57</v>
      </c>
      <c r="C75" s="4" t="str">
        <f t="shared" si="5"/>
        <v>first_name57</v>
      </c>
      <c r="D75" s="4" t="str">
        <f t="shared" si="6"/>
        <v>last_name57</v>
      </c>
      <c r="E75" s="4" t="s">
        <v>313</v>
      </c>
      <c r="F75" s="3" t="s">
        <v>167</v>
      </c>
      <c r="G75" s="5" t="s">
        <v>266</v>
      </c>
      <c r="H75" s="3">
        <v>4</v>
      </c>
      <c r="I75" s="3">
        <v>1</v>
      </c>
      <c r="J75" s="4">
        <v>1</v>
      </c>
      <c r="K75" s="1" t="str">
        <f t="shared" si="2"/>
        <v>INSERT INTO schema_db.users (first_name,last_name,id_document,user_email,password,id_user_categories,id_companies,enabled) VALUES('first_name57','last_name57',33333333,'mail51@mail.com','$2a$10$CAdZMEI5jrSJQNVl.7i7ROUkoHCWo2P0dfx9LHPvkh86vrLeA4PQK',4,1,1);</v>
      </c>
    </row>
    <row r="76" spans="2:11" x14ac:dyDescent="0.25">
      <c r="B76" s="3">
        <v>58</v>
      </c>
      <c r="C76" s="4" t="str">
        <f t="shared" si="5"/>
        <v>first_name58</v>
      </c>
      <c r="D76" s="4" t="str">
        <f t="shared" si="6"/>
        <v>last_name58</v>
      </c>
      <c r="E76" s="4" t="s">
        <v>314</v>
      </c>
      <c r="F76" s="3" t="s">
        <v>168</v>
      </c>
      <c r="G76" s="5" t="s">
        <v>267</v>
      </c>
      <c r="H76" s="3">
        <v>4</v>
      </c>
      <c r="I76" s="3">
        <v>1</v>
      </c>
      <c r="J76" s="4">
        <v>1</v>
      </c>
      <c r="K76" s="1" t="str">
        <f t="shared" si="2"/>
        <v>INSERT INTO schema_db.users (first_name,last_name,id_document,user_email,password,id_user_categories,id_companies,enabled) VALUES('first_name58','last_name58',44444444,'mail52@mail.com','$2a$10$daSZsPqgHDSyVuVd7bOFZeOwuC/QIOKn2jHcnEaQ3KbCmxCoeUTdO',4,1,1);</v>
      </c>
    </row>
    <row r="77" spans="2:11" x14ac:dyDescent="0.25">
      <c r="B77" s="3">
        <v>59</v>
      </c>
      <c r="C77" s="4" t="str">
        <f t="shared" si="5"/>
        <v>first_name59</v>
      </c>
      <c r="D77" s="4" t="str">
        <f t="shared" si="6"/>
        <v>last_name59</v>
      </c>
      <c r="E77" s="4" t="s">
        <v>315</v>
      </c>
      <c r="F77" s="3" t="s">
        <v>169</v>
      </c>
      <c r="G77" s="5" t="s">
        <v>268</v>
      </c>
      <c r="H77" s="3">
        <v>4</v>
      </c>
      <c r="I77" s="3">
        <v>1</v>
      </c>
      <c r="J77" s="4">
        <v>1</v>
      </c>
      <c r="K77" s="1" t="str">
        <f t="shared" si="2"/>
        <v>INSERT INTO schema_db.users (first_name,last_name,id_document,user_email,password,id_user_categories,id_companies,enabled) VALUES('first_name59','last_name59',55555555,'mail53@mail.com','$2a$10$N5dOeKNeWrMgJZMlCxECGenL44MGcxPkBQY1RhX23EENvlOxSnLb6',4,1,1);</v>
      </c>
    </row>
    <row r="78" spans="2:11" x14ac:dyDescent="0.25">
      <c r="B78" s="3">
        <v>60</v>
      </c>
      <c r="C78" s="4" t="str">
        <f t="shared" si="5"/>
        <v>first_name60</v>
      </c>
      <c r="D78" s="4" t="str">
        <f t="shared" si="6"/>
        <v>last_name60</v>
      </c>
      <c r="E78" s="4" t="s">
        <v>316</v>
      </c>
      <c r="F78" s="3" t="s">
        <v>170</v>
      </c>
      <c r="G78" s="5" t="s">
        <v>269</v>
      </c>
      <c r="H78" s="3">
        <v>4</v>
      </c>
      <c r="I78" s="3">
        <v>1</v>
      </c>
      <c r="J78" s="4">
        <v>1</v>
      </c>
      <c r="K78" s="1" t="str">
        <f t="shared" si="2"/>
        <v>INSERT INTO schema_db.users (first_name,last_name,id_document,user_email,password,id_user_categories,id_companies,enabled) VALUES('first_name60','last_name60',66666666,'mail54@mail.com','$2a$10$GH9cr.J.og44.5gkFoHktepX1OqitY0HOZKrv5foA5M9/PopDCB1O',4,1,1);</v>
      </c>
    </row>
    <row r="79" spans="2:11" x14ac:dyDescent="0.25">
      <c r="B79" s="3">
        <v>61</v>
      </c>
      <c r="C79" s="4" t="str">
        <f t="shared" si="5"/>
        <v>first_name61</v>
      </c>
      <c r="D79" s="4" t="str">
        <f t="shared" si="6"/>
        <v>last_name61</v>
      </c>
      <c r="E79" s="4" t="s">
        <v>317</v>
      </c>
      <c r="F79" s="3" t="s">
        <v>171</v>
      </c>
      <c r="G79" s="5" t="s">
        <v>270</v>
      </c>
      <c r="H79" s="3">
        <v>4</v>
      </c>
      <c r="I79" s="3">
        <v>1</v>
      </c>
      <c r="J79" s="4">
        <v>1</v>
      </c>
      <c r="K79" s="1" t="str">
        <f t="shared" si="2"/>
        <v>INSERT INTO schema_db.users (first_name,last_name,id_document,user_email,password,id_user_categories,id_companies,enabled) VALUES('first_name61','last_name61',77777777,'mail55@mail.com','$2a$10$B6XdEzReezg8Ah3bcaK/fOMW.salJaZHUHb6w03uL2BmAMdefKuQe',4,1,1);</v>
      </c>
    </row>
    <row r="80" spans="2:11" x14ac:dyDescent="0.25">
      <c r="B80" s="3">
        <v>62</v>
      </c>
      <c r="C80" s="4" t="str">
        <f t="shared" si="5"/>
        <v>first_name62</v>
      </c>
      <c r="D80" s="4" t="str">
        <f t="shared" si="6"/>
        <v>last_name62</v>
      </c>
      <c r="E80" s="4" t="s">
        <v>318</v>
      </c>
      <c r="F80" s="3" t="s">
        <v>172</v>
      </c>
      <c r="G80" s="5" t="s">
        <v>271</v>
      </c>
      <c r="H80" s="3">
        <v>4</v>
      </c>
      <c r="I80" s="3">
        <v>1</v>
      </c>
      <c r="J80" s="4">
        <v>1</v>
      </c>
      <c r="K80" s="1" t="str">
        <f t="shared" si="2"/>
        <v>INSERT INTO schema_db.users (first_name,last_name,id_document,user_email,password,id_user_categories,id_companies,enabled) VALUES('first_name62','last_name62',88888888,'mail56@mail.com','$2a$10$NuNtv.FKoQSWv3DenXyIqe6Yhqgf5YBHsrZmsMhCP29c9niiTFD9u',4,1,1);</v>
      </c>
    </row>
    <row r="81" spans="2:11" x14ac:dyDescent="0.25">
      <c r="B81" s="3">
        <v>63</v>
      </c>
      <c r="C81" s="4" t="str">
        <f t="shared" si="5"/>
        <v>first_name63</v>
      </c>
      <c r="D81" s="4" t="str">
        <f t="shared" si="6"/>
        <v>last_name63</v>
      </c>
      <c r="E81" s="4" t="s">
        <v>319</v>
      </c>
      <c r="F81" s="3" t="s">
        <v>173</v>
      </c>
      <c r="G81" s="5" t="s">
        <v>272</v>
      </c>
      <c r="H81" s="3">
        <v>4</v>
      </c>
      <c r="I81" s="3">
        <v>1</v>
      </c>
      <c r="J81" s="4">
        <v>1</v>
      </c>
      <c r="K81" s="1" t="str">
        <f t="shared" si="2"/>
        <v>INSERT INTO schema_db.users (first_name,last_name,id_document,user_email,password,id_user_categories,id_companies,enabled) VALUES('first_name63','last_name63',99999999,'mail57@mail.com','$2a$10$3Ox9/sTbbixq9yhD0HCxiueYsdBGE2a2uBjiqlkarXUxt6i/jshq2',4,1,1);</v>
      </c>
    </row>
    <row r="82" spans="2:11" x14ac:dyDescent="0.25">
      <c r="B82" s="3">
        <v>64</v>
      </c>
      <c r="C82" s="4" t="str">
        <f t="shared" si="5"/>
        <v>first_name64</v>
      </c>
      <c r="D82" s="4" t="str">
        <f t="shared" si="6"/>
        <v>last_name64</v>
      </c>
      <c r="E82" s="4" t="s">
        <v>311</v>
      </c>
      <c r="F82" s="3" t="s">
        <v>174</v>
      </c>
      <c r="G82" s="5" t="s">
        <v>273</v>
      </c>
      <c r="H82" s="3">
        <v>4</v>
      </c>
      <c r="I82" s="3">
        <v>1</v>
      </c>
      <c r="J82" s="4">
        <v>1</v>
      </c>
      <c r="K82" s="1" t="str">
        <f t="shared" si="2"/>
        <v>INSERT INTO schema_db.users (first_name,last_name,id_document,user_email,password,id_user_categories,id_companies,enabled) VALUES('first_name64','last_name64',11111111,'mail58@mail.com','$2a$10$Lm2aY.bKOn3RHA5VMjOgJOgfTx7x4Vm4dJi9uucfuOXd9oDm8FZTy',4,1,1);</v>
      </c>
    </row>
    <row r="83" spans="2:11" x14ac:dyDescent="0.25">
      <c r="B83" s="3">
        <v>65</v>
      </c>
      <c r="C83" s="4" t="str">
        <f t="shared" si="5"/>
        <v>first_name65</v>
      </c>
      <c r="D83" s="4" t="str">
        <f t="shared" si="6"/>
        <v>last_name65</v>
      </c>
      <c r="E83" s="4" t="s">
        <v>312</v>
      </c>
      <c r="F83" s="3" t="s">
        <v>175</v>
      </c>
      <c r="G83" s="5" t="s">
        <v>274</v>
      </c>
      <c r="H83" s="3">
        <v>4</v>
      </c>
      <c r="I83" s="3">
        <v>1</v>
      </c>
      <c r="J83" s="4">
        <v>1</v>
      </c>
      <c r="K83" s="1" t="str">
        <f t="shared" si="2"/>
        <v>INSERT INTO schema_db.users (first_name,last_name,id_document,user_email,password,id_user_categories,id_companies,enabled) VALUES('first_name65','last_name65',22222222,'mail59@mail.com','$2a$10$viTf9Sip.rgN6dwd5z7ze.9j.ieBHCGyvHJXkv5eP7xNuIJN6y9WO',4,1,1);</v>
      </c>
    </row>
    <row r="84" spans="2:11" x14ac:dyDescent="0.25">
      <c r="B84" s="3">
        <v>66</v>
      </c>
      <c r="C84" s="4" t="str">
        <f t="shared" si="5"/>
        <v>first_name66</v>
      </c>
      <c r="D84" s="4" t="str">
        <f t="shared" si="6"/>
        <v>last_name66</v>
      </c>
      <c r="E84" s="4" t="s">
        <v>313</v>
      </c>
      <c r="F84" s="3" t="s">
        <v>176</v>
      </c>
      <c r="G84" s="5" t="s">
        <v>275</v>
      </c>
      <c r="H84" s="3">
        <v>4</v>
      </c>
      <c r="I84" s="3">
        <v>1</v>
      </c>
      <c r="J84" s="4">
        <v>1</v>
      </c>
      <c r="K84" s="1" t="str">
        <f t="shared" ref="K84:K118" si="7">+"INSERT INTO schema_db." &amp; $B$17 &amp; " " &amp;$K$18&amp;" VALUES('"&amp;C84&amp;"','"&amp;D84&amp;"',"&amp;E84&amp;",'"&amp;F84&amp;"','"&amp;G84&amp;"',"&amp;H84&amp;","&amp;I84&amp;","&amp;J84&amp;");"</f>
        <v>INSERT INTO schema_db.users (first_name,last_name,id_document,user_email,password,id_user_categories,id_companies,enabled) VALUES('first_name66','last_name66',33333333,'mail60@mail.com','$2a$10$rfwMBauK3FV7TPb9GnWpvefkF.YEX5Q.8m67oFNeL8WgYfw2HfWwe',4,1,1);</v>
      </c>
    </row>
    <row r="85" spans="2:11" x14ac:dyDescent="0.25">
      <c r="B85" s="3">
        <v>67</v>
      </c>
      <c r="C85" s="4" t="str">
        <f t="shared" si="5"/>
        <v>first_name67</v>
      </c>
      <c r="D85" s="4" t="str">
        <f t="shared" si="6"/>
        <v>last_name67</v>
      </c>
      <c r="E85" s="4" t="s">
        <v>314</v>
      </c>
      <c r="F85" s="3" t="s">
        <v>177</v>
      </c>
      <c r="G85" s="5" t="s">
        <v>276</v>
      </c>
      <c r="H85" s="3">
        <v>4</v>
      </c>
      <c r="I85" s="3">
        <v>1</v>
      </c>
      <c r="J85" s="4">
        <v>1</v>
      </c>
      <c r="K85" s="1" t="str">
        <f t="shared" si="7"/>
        <v>INSERT INTO schema_db.users (first_name,last_name,id_document,user_email,password,id_user_categories,id_companies,enabled) VALUES('first_name67','last_name67',44444444,'mail61@mail.com','$2a$10$d1tI2IN0d54BXCSNDYiqqu/kQRqW8RV3iZnyUm7dERBLfHPmcV2hi',4,1,1);</v>
      </c>
    </row>
    <row r="86" spans="2:11" x14ac:dyDescent="0.25">
      <c r="B86" s="3">
        <v>68</v>
      </c>
      <c r="C86" s="4" t="str">
        <f t="shared" si="5"/>
        <v>first_name68</v>
      </c>
      <c r="D86" s="4" t="str">
        <f t="shared" si="6"/>
        <v>last_name68</v>
      </c>
      <c r="E86" s="4" t="s">
        <v>315</v>
      </c>
      <c r="F86" s="3" t="s">
        <v>178</v>
      </c>
      <c r="G86" s="5" t="s">
        <v>277</v>
      </c>
      <c r="H86" s="3">
        <v>4</v>
      </c>
      <c r="I86" s="3">
        <v>1</v>
      </c>
      <c r="J86" s="4">
        <v>1</v>
      </c>
      <c r="K86" s="1" t="str">
        <f t="shared" si="7"/>
        <v>INSERT INTO schema_db.users (first_name,last_name,id_document,user_email,password,id_user_categories,id_companies,enabled) VALUES('first_name68','last_name68',55555555,'mail62@mail.com','$2a$10$sKzLtKS/OlPLmHxUFY/0Te9VddZQGD360iNZ67QEQPb2g9TVVrRZG',4,1,1);</v>
      </c>
    </row>
    <row r="87" spans="2:11" x14ac:dyDescent="0.25">
      <c r="B87" s="3">
        <v>69</v>
      </c>
      <c r="C87" s="4" t="str">
        <f t="shared" si="5"/>
        <v>first_name69</v>
      </c>
      <c r="D87" s="4" t="str">
        <f t="shared" si="6"/>
        <v>last_name69</v>
      </c>
      <c r="E87" s="4" t="s">
        <v>316</v>
      </c>
      <c r="F87" s="3" t="s">
        <v>179</v>
      </c>
      <c r="G87" s="5" t="s">
        <v>278</v>
      </c>
      <c r="H87" s="3">
        <v>4</v>
      </c>
      <c r="I87" s="3">
        <v>1</v>
      </c>
      <c r="J87" s="4">
        <v>1</v>
      </c>
      <c r="K87" s="1" t="str">
        <f t="shared" si="7"/>
        <v>INSERT INTO schema_db.users (first_name,last_name,id_document,user_email,password,id_user_categories,id_companies,enabled) VALUES('first_name69','last_name69',66666666,'mail63@mail.com','$2a$10$vh.3/hUel/yxtoZi38lfSeFabMCOvf3efKxBRi6pTO2aDhybCUngO',4,1,1);</v>
      </c>
    </row>
    <row r="88" spans="2:11" x14ac:dyDescent="0.25">
      <c r="B88" s="3">
        <v>70</v>
      </c>
      <c r="C88" s="4" t="str">
        <f t="shared" si="5"/>
        <v>first_name70</v>
      </c>
      <c r="D88" s="4" t="str">
        <f t="shared" si="6"/>
        <v>last_name70</v>
      </c>
      <c r="E88" s="4" t="s">
        <v>317</v>
      </c>
      <c r="F88" s="3" t="s">
        <v>180</v>
      </c>
      <c r="G88" s="5" t="s">
        <v>279</v>
      </c>
      <c r="H88" s="3">
        <v>4</v>
      </c>
      <c r="I88" s="3">
        <v>1</v>
      </c>
      <c r="J88" s="4">
        <v>1</v>
      </c>
      <c r="K88" s="1" t="str">
        <f t="shared" si="7"/>
        <v>INSERT INTO schema_db.users (first_name,last_name,id_document,user_email,password,id_user_categories,id_companies,enabled) VALUES('first_name70','last_name70',77777777,'mail64@mail.com','$2a$10$nNBFbWRT9dU7UWaDBFAYFOQYCl0Asj.rGw/6q3BYny6DbI2pbaoMa',4,1,1);</v>
      </c>
    </row>
    <row r="89" spans="2:11" x14ac:dyDescent="0.25">
      <c r="B89" s="3">
        <v>71</v>
      </c>
      <c r="C89" s="4" t="str">
        <f t="shared" si="5"/>
        <v>first_name71</v>
      </c>
      <c r="D89" s="4" t="str">
        <f t="shared" si="6"/>
        <v>last_name71</v>
      </c>
      <c r="E89" s="4" t="s">
        <v>318</v>
      </c>
      <c r="F89" s="3" t="s">
        <v>181</v>
      </c>
      <c r="G89" s="5" t="s">
        <v>280</v>
      </c>
      <c r="H89" s="3">
        <v>4</v>
      </c>
      <c r="I89" s="3">
        <v>1</v>
      </c>
      <c r="J89" s="4">
        <v>1</v>
      </c>
      <c r="K89" s="1" t="str">
        <f t="shared" si="7"/>
        <v>INSERT INTO schema_db.users (first_name,last_name,id_document,user_email,password,id_user_categories,id_companies,enabled) VALUES('first_name71','last_name71',88888888,'mail65@mail.com','$2a$10$/8p0kyTsD9oN3m5SkaYISO3cw3XAByeJFM/1pkasIQ0bXI/hd5ndG',4,1,1);</v>
      </c>
    </row>
    <row r="90" spans="2:11" x14ac:dyDescent="0.25">
      <c r="B90" s="3">
        <v>72</v>
      </c>
      <c r="C90" s="4" t="str">
        <f t="shared" si="5"/>
        <v>first_name72</v>
      </c>
      <c r="D90" s="4" t="str">
        <f t="shared" si="6"/>
        <v>last_name72</v>
      </c>
      <c r="E90" s="4" t="s">
        <v>319</v>
      </c>
      <c r="F90" s="3" t="s">
        <v>182</v>
      </c>
      <c r="G90" s="5" t="s">
        <v>281</v>
      </c>
      <c r="H90" s="3">
        <v>4</v>
      </c>
      <c r="I90" s="3">
        <v>1</v>
      </c>
      <c r="J90" s="4">
        <v>1</v>
      </c>
      <c r="K90" s="1" t="str">
        <f t="shared" si="7"/>
        <v>INSERT INTO schema_db.users (first_name,last_name,id_document,user_email,password,id_user_categories,id_companies,enabled) VALUES('first_name72','last_name72',99999999,'mail66@mail.com','$2a$10$NCc.PJZQncMbGWRP4v3sqOV8MtJ7lanbCQupafOc0pLm3Z8t9lUsS',4,1,1);</v>
      </c>
    </row>
    <row r="91" spans="2:11" x14ac:dyDescent="0.25">
      <c r="B91" s="3">
        <v>73</v>
      </c>
      <c r="C91" s="4" t="str">
        <f t="shared" si="5"/>
        <v>first_name73</v>
      </c>
      <c r="D91" s="4" t="str">
        <f t="shared" si="6"/>
        <v>last_name73</v>
      </c>
      <c r="E91" s="4" t="s">
        <v>311</v>
      </c>
      <c r="F91" s="3" t="s">
        <v>183</v>
      </c>
      <c r="G91" s="5" t="s">
        <v>282</v>
      </c>
      <c r="H91" s="3">
        <v>4</v>
      </c>
      <c r="I91" s="3">
        <v>1</v>
      </c>
      <c r="J91" s="4">
        <v>1</v>
      </c>
      <c r="K91" s="1" t="str">
        <f t="shared" si="7"/>
        <v>INSERT INTO schema_db.users (first_name,last_name,id_document,user_email,password,id_user_categories,id_companies,enabled) VALUES('first_name73','last_name73',11111111,'mail67@mail.com','$2a$10$PEu/LR0vg5n5uEI.ozRag.KzOGVvuv52bPWCRcQU8bpy2KGqgaPg2',4,1,1);</v>
      </c>
    </row>
    <row r="92" spans="2:11" x14ac:dyDescent="0.25">
      <c r="B92" s="3">
        <v>74</v>
      </c>
      <c r="C92" s="4" t="str">
        <f t="shared" ref="C92:C118" si="8">+$C$18&amp;B92</f>
        <v>first_name74</v>
      </c>
      <c r="D92" s="4" t="str">
        <f t="shared" ref="D92:D118" si="9">+$D$18&amp;B92</f>
        <v>last_name74</v>
      </c>
      <c r="E92" s="4" t="s">
        <v>312</v>
      </c>
      <c r="F92" s="3" t="s">
        <v>184</v>
      </c>
      <c r="G92" s="5" t="s">
        <v>283</v>
      </c>
      <c r="H92" s="3">
        <v>4</v>
      </c>
      <c r="I92" s="3">
        <v>1</v>
      </c>
      <c r="J92" s="4">
        <v>1</v>
      </c>
      <c r="K92" s="1" t="str">
        <f t="shared" si="7"/>
        <v>INSERT INTO schema_db.users (first_name,last_name,id_document,user_email,password,id_user_categories,id_companies,enabled) VALUES('first_name74','last_name74',22222222,'mail68@mail.com','$2a$10$cPS5RrHBBqYQrqYp50/0JumPPVxQHn.n1LSRM1GkxLsZYmx9DULg6',4,1,1);</v>
      </c>
    </row>
    <row r="93" spans="2:11" x14ac:dyDescent="0.25">
      <c r="B93" s="3">
        <v>75</v>
      </c>
      <c r="C93" s="4" t="str">
        <f t="shared" si="8"/>
        <v>first_name75</v>
      </c>
      <c r="D93" s="4" t="str">
        <f t="shared" si="9"/>
        <v>last_name75</v>
      </c>
      <c r="E93" s="4" t="s">
        <v>313</v>
      </c>
      <c r="F93" s="3" t="s">
        <v>185</v>
      </c>
      <c r="G93" s="5" t="s">
        <v>284</v>
      </c>
      <c r="H93" s="3">
        <v>4</v>
      </c>
      <c r="I93" s="3">
        <v>1</v>
      </c>
      <c r="J93" s="4">
        <v>1</v>
      </c>
      <c r="K93" s="1" t="str">
        <f t="shared" si="7"/>
        <v>INSERT INTO schema_db.users (first_name,last_name,id_document,user_email,password,id_user_categories,id_companies,enabled) VALUES('first_name75','last_name75',33333333,'mail69@mail.com','$2a$10$hGo5bQUINHl/Oyvy4JhPIeuD13fF6QXZkYczWoVKj0lEX7Iwc9nvy',4,1,1);</v>
      </c>
    </row>
    <row r="94" spans="2:11" x14ac:dyDescent="0.25">
      <c r="B94" s="3">
        <v>76</v>
      </c>
      <c r="C94" s="4" t="str">
        <f t="shared" si="8"/>
        <v>first_name76</v>
      </c>
      <c r="D94" s="4" t="str">
        <f t="shared" si="9"/>
        <v>last_name76</v>
      </c>
      <c r="E94" s="4" t="s">
        <v>314</v>
      </c>
      <c r="F94" s="3" t="s">
        <v>186</v>
      </c>
      <c r="G94" s="5" t="s">
        <v>285</v>
      </c>
      <c r="H94" s="3">
        <v>4</v>
      </c>
      <c r="I94" s="3">
        <v>1</v>
      </c>
      <c r="J94" s="4">
        <v>1</v>
      </c>
      <c r="K94" s="1" t="str">
        <f t="shared" si="7"/>
        <v>INSERT INTO schema_db.users (first_name,last_name,id_document,user_email,password,id_user_categories,id_companies,enabled) VALUES('first_name76','last_name76',44444444,'mail70@mail.com','$2a$10$VjkTVvjkRISkLdzmB65d2e98.RH5squpjcruFcys85IN1OoPS.H.G',4,1,1);</v>
      </c>
    </row>
    <row r="95" spans="2:11" x14ac:dyDescent="0.25">
      <c r="B95" s="3">
        <v>77</v>
      </c>
      <c r="C95" s="4" t="str">
        <f t="shared" si="8"/>
        <v>first_name77</v>
      </c>
      <c r="D95" s="4" t="str">
        <f t="shared" si="9"/>
        <v>last_name77</v>
      </c>
      <c r="E95" s="4" t="s">
        <v>315</v>
      </c>
      <c r="F95" s="3" t="s">
        <v>187</v>
      </c>
      <c r="G95" s="5" t="s">
        <v>286</v>
      </c>
      <c r="H95" s="3">
        <v>4</v>
      </c>
      <c r="I95" s="3">
        <v>1</v>
      </c>
      <c r="J95" s="4">
        <v>1</v>
      </c>
      <c r="K95" s="1" t="str">
        <f t="shared" si="7"/>
        <v>INSERT INTO schema_db.users (first_name,last_name,id_document,user_email,password,id_user_categories,id_companies,enabled) VALUES('first_name77','last_name77',55555555,'mail71@mail.com','$2a$10$dSQrI9BnDYaYKWt7sX2egeIPnuBpxRltXRPasIHV6r5tkJ5ci4OIa',4,1,1);</v>
      </c>
    </row>
    <row r="96" spans="2:11" x14ac:dyDescent="0.25">
      <c r="B96" s="3">
        <v>78</v>
      </c>
      <c r="C96" s="4" t="str">
        <f t="shared" si="8"/>
        <v>first_name78</v>
      </c>
      <c r="D96" s="4" t="str">
        <f t="shared" si="9"/>
        <v>last_name78</v>
      </c>
      <c r="E96" s="4" t="s">
        <v>316</v>
      </c>
      <c r="F96" s="3" t="s">
        <v>188</v>
      </c>
      <c r="G96" s="5" t="s">
        <v>287</v>
      </c>
      <c r="H96" s="3">
        <v>4</v>
      </c>
      <c r="I96" s="3">
        <v>1</v>
      </c>
      <c r="J96" s="4">
        <v>1</v>
      </c>
      <c r="K96" s="1" t="str">
        <f t="shared" si="7"/>
        <v>INSERT INTO schema_db.users (first_name,last_name,id_document,user_email,password,id_user_categories,id_companies,enabled) VALUES('first_name78','last_name78',66666666,'mail72@mail.com','$2a$10$wGNpFrruyc4PqEL.qQ98rOH2k68FpxpB.VjwHcMCcGwkAnqD8189m',4,1,1);</v>
      </c>
    </row>
    <row r="97" spans="2:11" x14ac:dyDescent="0.25">
      <c r="B97" s="3">
        <v>79</v>
      </c>
      <c r="C97" s="4" t="str">
        <f t="shared" si="8"/>
        <v>first_name79</v>
      </c>
      <c r="D97" s="4" t="str">
        <f t="shared" si="9"/>
        <v>last_name79</v>
      </c>
      <c r="E97" s="4" t="s">
        <v>317</v>
      </c>
      <c r="F97" s="3" t="s">
        <v>189</v>
      </c>
      <c r="G97" s="5" t="s">
        <v>288</v>
      </c>
      <c r="H97" s="3">
        <v>4</v>
      </c>
      <c r="I97" s="3">
        <v>1</v>
      </c>
      <c r="J97" s="4">
        <v>1</v>
      </c>
      <c r="K97" s="1" t="str">
        <f t="shared" si="7"/>
        <v>INSERT INTO schema_db.users (first_name,last_name,id_document,user_email,password,id_user_categories,id_companies,enabled) VALUES('first_name79','last_name79',77777777,'mail73@mail.com','$2a$10$mTFL55/.qm1deTLNc8MbOes/A3RIvwvyVCUahnjsjMyGrDG1WfhwK',4,1,1);</v>
      </c>
    </row>
    <row r="98" spans="2:11" x14ac:dyDescent="0.25">
      <c r="B98" s="3">
        <v>80</v>
      </c>
      <c r="C98" s="4" t="str">
        <f t="shared" si="8"/>
        <v>first_name80</v>
      </c>
      <c r="D98" s="4" t="str">
        <f t="shared" si="9"/>
        <v>last_name80</v>
      </c>
      <c r="E98" s="4" t="s">
        <v>318</v>
      </c>
      <c r="F98" s="3" t="s">
        <v>190</v>
      </c>
      <c r="G98" s="5" t="s">
        <v>289</v>
      </c>
      <c r="H98" s="3">
        <v>4</v>
      </c>
      <c r="I98" s="3">
        <v>1</v>
      </c>
      <c r="J98" s="4">
        <v>1</v>
      </c>
      <c r="K98" s="1" t="str">
        <f t="shared" si="7"/>
        <v>INSERT INTO schema_db.users (first_name,last_name,id_document,user_email,password,id_user_categories,id_companies,enabled) VALUES('first_name80','last_name80',88888888,'mail74@mail.com','$2a$10$r3Q6H5F1pYvyNSl5fbIrG.Um15tzMDjVnZJDy0QSA4hncIEKIljDa',4,1,1);</v>
      </c>
    </row>
    <row r="99" spans="2:11" x14ac:dyDescent="0.25">
      <c r="B99" s="3">
        <v>81</v>
      </c>
      <c r="C99" s="4" t="str">
        <f t="shared" si="8"/>
        <v>first_name81</v>
      </c>
      <c r="D99" s="4" t="str">
        <f t="shared" si="9"/>
        <v>last_name81</v>
      </c>
      <c r="E99" s="4" t="s">
        <v>319</v>
      </c>
      <c r="F99" s="3" t="s">
        <v>191</v>
      </c>
      <c r="G99" s="5" t="s">
        <v>290</v>
      </c>
      <c r="H99" s="3">
        <v>4</v>
      </c>
      <c r="I99" s="3">
        <v>1</v>
      </c>
      <c r="J99" s="4">
        <v>1</v>
      </c>
      <c r="K99" s="1" t="str">
        <f t="shared" si="7"/>
        <v>INSERT INTO schema_db.users (first_name,last_name,id_document,user_email,password,id_user_categories,id_companies,enabled) VALUES('first_name81','last_name81',99999999,'mail75@mail.com','$2a$10$UHhnpJicrYOmcyfHbd8i5em3DlqRw4VUDcarWxHUzy.hHwYC7PLX2',4,1,1);</v>
      </c>
    </row>
    <row r="100" spans="2:11" x14ac:dyDescent="0.25">
      <c r="B100" s="3">
        <v>82</v>
      </c>
      <c r="C100" s="4" t="str">
        <f t="shared" si="8"/>
        <v>first_name82</v>
      </c>
      <c r="D100" s="4" t="str">
        <f t="shared" si="9"/>
        <v>last_name82</v>
      </c>
      <c r="E100" s="4" t="s">
        <v>311</v>
      </c>
      <c r="F100" s="3" t="s">
        <v>192</v>
      </c>
      <c r="G100" s="5" t="s">
        <v>291</v>
      </c>
      <c r="H100" s="3">
        <v>4</v>
      </c>
      <c r="I100" s="3">
        <v>1</v>
      </c>
      <c r="J100" s="4">
        <v>1</v>
      </c>
      <c r="K100" s="1" t="str">
        <f t="shared" si="7"/>
        <v>INSERT INTO schema_db.users (first_name,last_name,id_document,user_email,password,id_user_categories,id_companies,enabled) VALUES('first_name82','last_name82',11111111,'mail76@mail.com','$2a$10$iaAIJxK8vkiESprkWVhuE.W0rh7T78fblPMXn8ETrz19CZh08.SVG',4,1,1);</v>
      </c>
    </row>
    <row r="101" spans="2:11" x14ac:dyDescent="0.25">
      <c r="B101" s="3">
        <v>83</v>
      </c>
      <c r="C101" s="4" t="str">
        <f t="shared" si="8"/>
        <v>first_name83</v>
      </c>
      <c r="D101" s="4" t="str">
        <f t="shared" si="9"/>
        <v>last_name83</v>
      </c>
      <c r="E101" s="4" t="s">
        <v>312</v>
      </c>
      <c r="F101" s="3" t="s">
        <v>193</v>
      </c>
      <c r="G101" s="5" t="s">
        <v>292</v>
      </c>
      <c r="H101" s="3">
        <v>4</v>
      </c>
      <c r="I101" s="3">
        <v>1</v>
      </c>
      <c r="J101" s="4">
        <v>1</v>
      </c>
      <c r="K101" s="1" t="str">
        <f t="shared" si="7"/>
        <v>INSERT INTO schema_db.users (first_name,last_name,id_document,user_email,password,id_user_categories,id_companies,enabled) VALUES('first_name83','last_name83',22222222,'mail77@mail.com','$2a$10$4dqnBjK6zwM2BfO7.T7gW.9MPqroaCyLEecfNAoCNnYQuSqjY6cuW',4,1,1);</v>
      </c>
    </row>
    <row r="102" spans="2:11" x14ac:dyDescent="0.25">
      <c r="B102" s="3">
        <v>84</v>
      </c>
      <c r="C102" s="4" t="str">
        <f t="shared" si="8"/>
        <v>first_name84</v>
      </c>
      <c r="D102" s="4" t="str">
        <f t="shared" si="9"/>
        <v>last_name84</v>
      </c>
      <c r="E102" s="4" t="s">
        <v>313</v>
      </c>
      <c r="F102" s="3" t="s">
        <v>194</v>
      </c>
      <c r="G102" s="5" t="s">
        <v>293</v>
      </c>
      <c r="H102" s="3">
        <v>4</v>
      </c>
      <c r="I102" s="3">
        <v>1</v>
      </c>
      <c r="J102" s="4">
        <v>1</v>
      </c>
      <c r="K102" s="1" t="str">
        <f t="shared" si="7"/>
        <v>INSERT INTO schema_db.users (first_name,last_name,id_document,user_email,password,id_user_categories,id_companies,enabled) VALUES('first_name84','last_name84',33333333,'mail78@mail.com','$2a$10$1UkoU5nvbpo8FtHlIa//zeJCf5WzuVuJ/8hazESRHgPT/0f0kfnay',4,1,1);</v>
      </c>
    </row>
    <row r="103" spans="2:11" x14ac:dyDescent="0.25">
      <c r="B103" s="3">
        <v>85</v>
      </c>
      <c r="C103" s="4" t="str">
        <f t="shared" si="8"/>
        <v>first_name85</v>
      </c>
      <c r="D103" s="4" t="str">
        <f t="shared" si="9"/>
        <v>last_name85</v>
      </c>
      <c r="E103" s="4" t="s">
        <v>314</v>
      </c>
      <c r="F103" s="3" t="s">
        <v>195</v>
      </c>
      <c r="G103" s="5" t="s">
        <v>294</v>
      </c>
      <c r="H103" s="3">
        <v>4</v>
      </c>
      <c r="I103" s="3">
        <v>1</v>
      </c>
      <c r="J103" s="4">
        <v>1</v>
      </c>
      <c r="K103" s="1" t="str">
        <f t="shared" si="7"/>
        <v>INSERT INTO schema_db.users (first_name,last_name,id_document,user_email,password,id_user_categories,id_companies,enabled) VALUES('first_name85','last_name85',44444444,'mail79@mail.com','$2a$10$dnaILhYrGeZ5hYzO6R8V6e64ejBb5BBQdL8Wm.oYI3CvPuynGE6Rm',4,1,1);</v>
      </c>
    </row>
    <row r="104" spans="2:11" x14ac:dyDescent="0.25">
      <c r="B104" s="3">
        <v>86</v>
      </c>
      <c r="C104" s="4" t="str">
        <f t="shared" si="8"/>
        <v>first_name86</v>
      </c>
      <c r="D104" s="4" t="str">
        <f t="shared" si="9"/>
        <v>last_name86</v>
      </c>
      <c r="E104" s="4" t="s">
        <v>315</v>
      </c>
      <c r="F104" s="3" t="s">
        <v>196</v>
      </c>
      <c r="G104" s="5" t="s">
        <v>295</v>
      </c>
      <c r="H104" s="3">
        <v>4</v>
      </c>
      <c r="I104" s="3">
        <v>1</v>
      </c>
      <c r="J104" s="4">
        <v>1</v>
      </c>
      <c r="K104" s="1" t="str">
        <f t="shared" si="7"/>
        <v>INSERT INTO schema_db.users (first_name,last_name,id_document,user_email,password,id_user_categories,id_companies,enabled) VALUES('first_name86','last_name86',55555555,'mail80@mail.com','$2a$10$MUKm4Rt4JkItzGc/V6RWLO.HF70OOimfJWGLBQ6c5CKLzVaFRAXdG',4,1,1);</v>
      </c>
    </row>
    <row r="105" spans="2:11" x14ac:dyDescent="0.25">
      <c r="B105" s="3">
        <v>87</v>
      </c>
      <c r="C105" s="4" t="str">
        <f t="shared" si="8"/>
        <v>first_name87</v>
      </c>
      <c r="D105" s="4" t="str">
        <f t="shared" si="9"/>
        <v>last_name87</v>
      </c>
      <c r="E105" s="4" t="s">
        <v>316</v>
      </c>
      <c r="F105" s="3" t="s">
        <v>197</v>
      </c>
      <c r="G105" s="5" t="s">
        <v>296</v>
      </c>
      <c r="H105" s="3">
        <v>4</v>
      </c>
      <c r="I105" s="3">
        <v>1</v>
      </c>
      <c r="J105" s="4">
        <v>1</v>
      </c>
      <c r="K105" s="1" t="str">
        <f t="shared" si="7"/>
        <v>INSERT INTO schema_db.users (first_name,last_name,id_document,user_email,password,id_user_categories,id_companies,enabled) VALUES('first_name87','last_name87',66666666,'mail81@mail.com','$2a$10$99Poo/3iQRn6deXgggeksOG9VfLNYKt6xKH/2Otgr3v4T5jkSy4IC',4,1,1);</v>
      </c>
    </row>
    <row r="106" spans="2:11" x14ac:dyDescent="0.25">
      <c r="B106" s="3">
        <v>88</v>
      </c>
      <c r="C106" s="4" t="str">
        <f t="shared" si="8"/>
        <v>first_name88</v>
      </c>
      <c r="D106" s="4" t="str">
        <f t="shared" si="9"/>
        <v>last_name88</v>
      </c>
      <c r="E106" s="4" t="s">
        <v>317</v>
      </c>
      <c r="F106" s="3" t="s">
        <v>198</v>
      </c>
      <c r="G106" s="5" t="s">
        <v>297</v>
      </c>
      <c r="H106" s="3">
        <v>4</v>
      </c>
      <c r="I106" s="3">
        <v>1</v>
      </c>
      <c r="J106" s="4">
        <v>1</v>
      </c>
      <c r="K106" s="1" t="str">
        <f t="shared" si="7"/>
        <v>INSERT INTO schema_db.users (first_name,last_name,id_document,user_email,password,id_user_categories,id_companies,enabled) VALUES('first_name88','last_name88',77777777,'mail82@mail.com','$2a$10$AqT37CgmpeNFe4kni5UlcuK553cz5yudgR.jv3btkUhjCXFIEzPRq',4,1,1);</v>
      </c>
    </row>
    <row r="107" spans="2:11" x14ac:dyDescent="0.25">
      <c r="B107" s="3">
        <v>89</v>
      </c>
      <c r="C107" s="4" t="str">
        <f t="shared" si="8"/>
        <v>first_name89</v>
      </c>
      <c r="D107" s="4" t="str">
        <f t="shared" si="9"/>
        <v>last_name89</v>
      </c>
      <c r="E107" s="4" t="s">
        <v>318</v>
      </c>
      <c r="F107" s="3" t="s">
        <v>199</v>
      </c>
      <c r="G107" s="5" t="s">
        <v>298</v>
      </c>
      <c r="H107" s="3">
        <v>4</v>
      </c>
      <c r="I107" s="3">
        <v>1</v>
      </c>
      <c r="J107" s="4">
        <v>1</v>
      </c>
      <c r="K107" s="1" t="str">
        <f t="shared" si="7"/>
        <v>INSERT INTO schema_db.users (first_name,last_name,id_document,user_email,password,id_user_categories,id_companies,enabled) VALUES('first_name89','last_name89',88888888,'mail83@mail.com','$2a$10$dSsP5OeVSmaH.rEksF.y9.1sTBVgua1uMYqgqev2rlGm/072SyhEK',4,1,1);</v>
      </c>
    </row>
    <row r="108" spans="2:11" x14ac:dyDescent="0.25">
      <c r="B108" s="3">
        <v>90</v>
      </c>
      <c r="C108" s="4" t="str">
        <f t="shared" si="8"/>
        <v>first_name90</v>
      </c>
      <c r="D108" s="4" t="str">
        <f t="shared" si="9"/>
        <v>last_name90</v>
      </c>
      <c r="E108" s="4" t="s">
        <v>319</v>
      </c>
      <c r="F108" s="3" t="s">
        <v>200</v>
      </c>
      <c r="G108" s="5" t="s">
        <v>299</v>
      </c>
      <c r="H108" s="3">
        <v>4</v>
      </c>
      <c r="I108" s="3">
        <v>1</v>
      </c>
      <c r="J108" s="4">
        <v>1</v>
      </c>
      <c r="K108" s="1" t="str">
        <f t="shared" si="7"/>
        <v>INSERT INTO schema_db.users (first_name,last_name,id_document,user_email,password,id_user_categories,id_companies,enabled) VALUES('first_name90','last_name90',99999999,'mail84@mail.com','$2a$10$oQTvZQZxzZNDvjHx3dfwFeD5vET8hvUsDkP/mJe1UUwJujAZk8jDW',4,1,1);</v>
      </c>
    </row>
    <row r="109" spans="2:11" x14ac:dyDescent="0.25">
      <c r="B109" s="3">
        <v>91</v>
      </c>
      <c r="C109" s="4" t="str">
        <f t="shared" si="8"/>
        <v>first_name91</v>
      </c>
      <c r="D109" s="4" t="str">
        <f t="shared" si="9"/>
        <v>last_name91</v>
      </c>
      <c r="E109" s="4" t="s">
        <v>311</v>
      </c>
      <c r="F109" s="3" t="s">
        <v>201</v>
      </c>
      <c r="G109" s="5" t="s">
        <v>300</v>
      </c>
      <c r="H109" s="3">
        <v>4</v>
      </c>
      <c r="I109" s="3">
        <v>1</v>
      </c>
      <c r="J109" s="4">
        <v>1</v>
      </c>
      <c r="K109" s="1" t="str">
        <f t="shared" si="7"/>
        <v>INSERT INTO schema_db.users (first_name,last_name,id_document,user_email,password,id_user_categories,id_companies,enabled) VALUES('first_name91','last_name91',11111111,'mail85@mail.com','$2a$10$kdsTpJb684JCxngLgA3K/uFRrd2agwkdfFQOlLm3FviEHjGgc3mIK',4,1,1);</v>
      </c>
    </row>
    <row r="110" spans="2:11" x14ac:dyDescent="0.25">
      <c r="B110" s="3">
        <v>92</v>
      </c>
      <c r="C110" s="4" t="str">
        <f t="shared" si="8"/>
        <v>first_name92</v>
      </c>
      <c r="D110" s="4" t="str">
        <f t="shared" si="9"/>
        <v>last_name92</v>
      </c>
      <c r="E110" s="4" t="s">
        <v>312</v>
      </c>
      <c r="F110" s="3" t="s">
        <v>202</v>
      </c>
      <c r="G110" s="5" t="s">
        <v>301</v>
      </c>
      <c r="H110" s="3">
        <v>4</v>
      </c>
      <c r="I110" s="3">
        <v>1</v>
      </c>
      <c r="J110" s="4">
        <v>1</v>
      </c>
      <c r="K110" s="1" t="str">
        <f t="shared" si="7"/>
        <v>INSERT INTO schema_db.users (first_name,last_name,id_document,user_email,password,id_user_categories,id_companies,enabled) VALUES('first_name92','last_name92',22222222,'mail86@mail.com','$2a$10$hgyu9d1D1zIX4STpeTya8.VUvWLr.zPJBVL9RZMdZ6ZIA.xWBNAu6',4,1,1);</v>
      </c>
    </row>
    <row r="111" spans="2:11" x14ac:dyDescent="0.25">
      <c r="B111" s="3">
        <v>93</v>
      </c>
      <c r="C111" s="4" t="str">
        <f t="shared" si="8"/>
        <v>first_name93</v>
      </c>
      <c r="D111" s="4" t="str">
        <f t="shared" si="9"/>
        <v>last_name93</v>
      </c>
      <c r="E111" s="4" t="s">
        <v>313</v>
      </c>
      <c r="F111" s="3" t="s">
        <v>203</v>
      </c>
      <c r="G111" s="5" t="s">
        <v>302</v>
      </c>
      <c r="H111" s="3">
        <v>4</v>
      </c>
      <c r="I111" s="3">
        <v>1</v>
      </c>
      <c r="J111" s="4">
        <v>1</v>
      </c>
      <c r="K111" s="1" t="str">
        <f t="shared" si="7"/>
        <v>INSERT INTO schema_db.users (first_name,last_name,id_document,user_email,password,id_user_categories,id_companies,enabled) VALUES('first_name93','last_name93',33333333,'mail87@mail.com','$2a$10$0SlVm/iWOVZ/XiJe.xFRV.0uH2A5Cg7wuKmJhzb1eCr2HNLtwtn52',4,1,1);</v>
      </c>
    </row>
    <row r="112" spans="2:11" x14ac:dyDescent="0.25">
      <c r="B112" s="3">
        <v>94</v>
      </c>
      <c r="C112" s="4" t="str">
        <f t="shared" si="8"/>
        <v>first_name94</v>
      </c>
      <c r="D112" s="4" t="str">
        <f t="shared" si="9"/>
        <v>last_name94</v>
      </c>
      <c r="E112" s="4" t="s">
        <v>314</v>
      </c>
      <c r="F112" s="3" t="s">
        <v>204</v>
      </c>
      <c r="G112" s="5" t="s">
        <v>303</v>
      </c>
      <c r="H112" s="3">
        <v>4</v>
      </c>
      <c r="I112" s="3">
        <v>1</v>
      </c>
      <c r="J112" s="4">
        <v>1</v>
      </c>
      <c r="K112" s="1" t="str">
        <f t="shared" si="7"/>
        <v>INSERT INTO schema_db.users (first_name,last_name,id_document,user_email,password,id_user_categories,id_companies,enabled) VALUES('first_name94','last_name94',44444444,'mail88@mail.com','$2a$10$dneDSvaaTwwL5dA7PZ5vBeLN588qZd0xYvjMTuePCmXXAEyDXATJy',4,1,1);</v>
      </c>
    </row>
    <row r="113" spans="2:11" x14ac:dyDescent="0.25">
      <c r="B113" s="3">
        <v>95</v>
      </c>
      <c r="C113" s="4" t="str">
        <f t="shared" si="8"/>
        <v>first_name95</v>
      </c>
      <c r="D113" s="4" t="str">
        <f t="shared" si="9"/>
        <v>last_name95</v>
      </c>
      <c r="E113" s="4" t="s">
        <v>315</v>
      </c>
      <c r="F113" s="3" t="s">
        <v>205</v>
      </c>
      <c r="G113" s="5" t="s">
        <v>304</v>
      </c>
      <c r="H113" s="3">
        <v>4</v>
      </c>
      <c r="I113" s="3">
        <v>1</v>
      </c>
      <c r="J113" s="4">
        <v>1</v>
      </c>
      <c r="K113" s="1" t="str">
        <f t="shared" si="7"/>
        <v>INSERT INTO schema_db.users (first_name,last_name,id_document,user_email,password,id_user_categories,id_companies,enabled) VALUES('first_name95','last_name95',55555555,'mail89@mail.com','$2a$10$ZgCWs798JajM3yZER.IXNegoaKwb7DgmtumcbL/z5R1Exj0/xgVhi',4,1,1);</v>
      </c>
    </row>
    <row r="114" spans="2:11" x14ac:dyDescent="0.25">
      <c r="B114" s="3">
        <v>96</v>
      </c>
      <c r="C114" s="4" t="str">
        <f t="shared" si="8"/>
        <v>first_name96</v>
      </c>
      <c r="D114" s="4" t="str">
        <f t="shared" si="9"/>
        <v>last_name96</v>
      </c>
      <c r="E114" s="4" t="s">
        <v>316</v>
      </c>
      <c r="F114" s="3" t="s">
        <v>206</v>
      </c>
      <c r="G114" s="5" t="s">
        <v>305</v>
      </c>
      <c r="H114" s="3">
        <v>4</v>
      </c>
      <c r="I114" s="3">
        <v>1</v>
      </c>
      <c r="J114" s="4">
        <v>1</v>
      </c>
      <c r="K114" s="1" t="str">
        <f t="shared" si="7"/>
        <v>INSERT INTO schema_db.users (first_name,last_name,id_document,user_email,password,id_user_categories,id_companies,enabled) VALUES('first_name96','last_name96',66666666,'mail90@mail.com','$2a$10$HMlw5/TMD.97xSULq6tuI.dCIzfN/dhN0aO/Q7RuPbQmtyKAngG3W',4,1,1);</v>
      </c>
    </row>
    <row r="115" spans="2:11" x14ac:dyDescent="0.25">
      <c r="B115" s="3">
        <v>97</v>
      </c>
      <c r="C115" s="4" t="str">
        <f t="shared" si="8"/>
        <v>first_name97</v>
      </c>
      <c r="D115" s="4" t="str">
        <f t="shared" si="9"/>
        <v>last_name97</v>
      </c>
      <c r="E115" s="4" t="s">
        <v>317</v>
      </c>
      <c r="F115" s="3" t="s">
        <v>207</v>
      </c>
      <c r="G115" s="5" t="s">
        <v>306</v>
      </c>
      <c r="H115" s="3">
        <v>4</v>
      </c>
      <c r="I115" s="3">
        <v>1</v>
      </c>
      <c r="J115" s="4">
        <v>1</v>
      </c>
      <c r="K115" s="1" t="str">
        <f t="shared" si="7"/>
        <v>INSERT INTO schema_db.users (first_name,last_name,id_document,user_email,password,id_user_categories,id_companies,enabled) VALUES('first_name97','last_name97',77777777,'mail91@mail.com','$2a$10$/eA3pTHko7ZBNpSIVofs7.re7PbjWi5Se8p0idgiafhXCms.LrG.S',4,1,1);</v>
      </c>
    </row>
    <row r="116" spans="2:11" x14ac:dyDescent="0.25">
      <c r="B116" s="3">
        <v>98</v>
      </c>
      <c r="C116" s="4" t="str">
        <f t="shared" si="8"/>
        <v>first_name98</v>
      </c>
      <c r="D116" s="4" t="str">
        <f t="shared" si="9"/>
        <v>last_name98</v>
      </c>
      <c r="E116" s="4" t="s">
        <v>318</v>
      </c>
      <c r="F116" s="3" t="s">
        <v>208</v>
      </c>
      <c r="G116" s="5" t="s">
        <v>307</v>
      </c>
      <c r="H116" s="3">
        <v>4</v>
      </c>
      <c r="I116" s="3">
        <v>1</v>
      </c>
      <c r="J116" s="4">
        <v>1</v>
      </c>
      <c r="K116" s="1" t="str">
        <f t="shared" si="7"/>
        <v>INSERT INTO schema_db.users (first_name,last_name,id_document,user_email,password,id_user_categories,id_companies,enabled) VALUES('first_name98','last_name98',88888888,'mail92@mail.com','$2a$10$9tS3yNCb1hH9OBhvqpp/wekobNdtQIhCgVx.ZJLbsQ/I5hD/XQbE2',4,1,1);</v>
      </c>
    </row>
    <row r="117" spans="2:11" x14ac:dyDescent="0.25">
      <c r="B117" s="3">
        <v>99</v>
      </c>
      <c r="C117" s="4" t="str">
        <f t="shared" si="8"/>
        <v>first_name99</v>
      </c>
      <c r="D117" s="4" t="str">
        <f t="shared" si="9"/>
        <v>last_name99</v>
      </c>
      <c r="E117" s="4" t="s">
        <v>319</v>
      </c>
      <c r="F117" s="3" t="s">
        <v>209</v>
      </c>
      <c r="G117" s="5" t="s">
        <v>308</v>
      </c>
      <c r="H117" s="3">
        <v>4</v>
      </c>
      <c r="I117" s="3">
        <v>1</v>
      </c>
      <c r="J117" s="4">
        <v>1</v>
      </c>
      <c r="K117" s="1" t="str">
        <f t="shared" si="7"/>
        <v>INSERT INTO schema_db.users (first_name,last_name,id_document,user_email,password,id_user_categories,id_companies,enabled) VALUES('first_name99','last_name99',99999999,'mail93@mail.com','$2a$10$m.HgFNM4ZjG3MW6aADrxf.dONmhP7KKd7SyzrXg4JeifStPHnE5aW',4,1,1);</v>
      </c>
    </row>
    <row r="118" spans="2:11" x14ac:dyDescent="0.25">
      <c r="B118" s="3">
        <v>100</v>
      </c>
      <c r="C118" s="4" t="str">
        <f t="shared" si="8"/>
        <v>first_name100</v>
      </c>
      <c r="D118" s="4" t="str">
        <f t="shared" si="9"/>
        <v>last_name100</v>
      </c>
      <c r="E118" s="4" t="s">
        <v>318</v>
      </c>
      <c r="F118" s="3" t="s">
        <v>210</v>
      </c>
      <c r="G118" s="5" t="s">
        <v>309</v>
      </c>
      <c r="H118" s="3">
        <v>4</v>
      </c>
      <c r="I118" s="3">
        <v>1</v>
      </c>
      <c r="J118" s="4">
        <v>1</v>
      </c>
      <c r="K118" s="1" t="str">
        <f t="shared" si="7"/>
        <v>INSERT INTO schema_db.users (first_name,last_name,id_document,user_email,password,id_user_categories,id_companies,enabled) VALUES('first_name100','last_name100',88888888,'mail94@mail.com','$2a$10$VkVzkQfeRqJLWbDa1VpQ7eBxEnAZOIp8VP8buVZMOWKp82mxZFFfG',4,1,1);</v>
      </c>
    </row>
    <row r="119" spans="2:11" x14ac:dyDescent="0.25">
      <c r="B119" s="14"/>
      <c r="C119" s="15"/>
      <c r="D119" s="15"/>
      <c r="E119" s="14"/>
      <c r="F119" s="14"/>
      <c r="G119" s="14"/>
      <c r="H119" s="14"/>
      <c r="I119" s="15"/>
    </row>
    <row r="120" spans="2:11" ht="14.5" x14ac:dyDescent="0.35">
      <c r="B120" s="1" t="s">
        <v>41</v>
      </c>
      <c r="F120" s="19"/>
    </row>
    <row r="121" spans="2:11" x14ac:dyDescent="0.25">
      <c r="B121" s="6" t="s">
        <v>0</v>
      </c>
      <c r="C121" s="6" t="s">
        <v>20</v>
      </c>
      <c r="D121" s="6" t="s">
        <v>13</v>
      </c>
      <c r="E121" s="6" t="s">
        <v>12</v>
      </c>
      <c r="F121" s="6" t="s">
        <v>61</v>
      </c>
      <c r="G121" s="2" t="s">
        <v>94</v>
      </c>
      <c r="H121" s="1" t="str">
        <f>+"("&amp;C121&amp;","&amp;D121&amp;","&amp;E121&amp;","&amp;F121&amp;")"</f>
        <v>(token,id_companies,id_user_categories,id_users)</v>
      </c>
    </row>
    <row r="122" spans="2:11" ht="13" customHeight="1" x14ac:dyDescent="0.35">
      <c r="B122" s="3">
        <v>1</v>
      </c>
      <c r="C122" s="3" t="s">
        <v>21</v>
      </c>
      <c r="D122" s="4">
        <v>1</v>
      </c>
      <c r="E122" s="4">
        <v>2</v>
      </c>
      <c r="F122" s="8" t="s">
        <v>60</v>
      </c>
      <c r="G122" s="8" t="s">
        <v>95</v>
      </c>
      <c r="H122" s="1" t="str">
        <f t="shared" ref="H122:H141" si="10">+"INSERT INTO schema_db." &amp; $B$120 &amp; " " &amp;$H$121&amp;" VALUES('"&amp;C122&amp;"',"&amp;D122&amp;","&amp;E122&amp;","&amp;F122&amp;");"</f>
        <v>INSERT INTO schema_db.tokens (token,id_companies,id_user_categories,id_users) VALUES('$2a$10$lLNATnUCN0xgjxl7qzGOZes41q0kgYOdq2ttPnRUmgCl.FGQQoVnW',1,2,NULL);</v>
      </c>
      <c r="I122"/>
    </row>
    <row r="123" spans="2:11" ht="13" customHeight="1" x14ac:dyDescent="0.35">
      <c r="B123" s="3">
        <v>2</v>
      </c>
      <c r="C123" s="3" t="s">
        <v>22</v>
      </c>
      <c r="D123" s="4">
        <v>1</v>
      </c>
      <c r="E123" s="4">
        <v>3</v>
      </c>
      <c r="F123" s="8" t="s">
        <v>60</v>
      </c>
      <c r="G123" s="8" t="s">
        <v>95</v>
      </c>
      <c r="H123" s="1" t="str">
        <f t="shared" si="10"/>
        <v>INSERT INTO schema_db.tokens (token,id_companies,id_user_categories,id_users) VALUES('$2a$10$/OYqYl72td9ltVT5iSHoyO2Orh.74HFEXoI3mAchIMv5CYNKLUwle',1,3,NULL);</v>
      </c>
      <c r="I123"/>
    </row>
    <row r="124" spans="2:11" ht="13" customHeight="1" x14ac:dyDescent="0.35">
      <c r="B124" s="3">
        <v>3</v>
      </c>
      <c r="C124" s="3" t="s">
        <v>23</v>
      </c>
      <c r="D124" s="4">
        <v>1</v>
      </c>
      <c r="E124" s="4">
        <v>3</v>
      </c>
      <c r="F124" s="8" t="s">
        <v>60</v>
      </c>
      <c r="G124" s="8" t="s">
        <v>95</v>
      </c>
      <c r="H124" s="1" t="str">
        <f t="shared" si="10"/>
        <v>INSERT INTO schema_db.tokens (token,id_companies,id_user_categories,id_users) VALUES('$2a$10$0v5QvtczgutBxp1CIZCZ/OYF3I3HlV/I/0EjQePekG314VQQ38zFO',1,3,NULL);</v>
      </c>
      <c r="I124"/>
    </row>
    <row r="125" spans="2:11" ht="13" customHeight="1" x14ac:dyDescent="0.35">
      <c r="B125" s="3">
        <v>4</v>
      </c>
      <c r="C125" s="3" t="s">
        <v>24</v>
      </c>
      <c r="D125" s="4">
        <v>1</v>
      </c>
      <c r="E125" s="4">
        <v>4</v>
      </c>
      <c r="F125" s="8" t="s">
        <v>60</v>
      </c>
      <c r="G125" s="8" t="s">
        <v>95</v>
      </c>
      <c r="H125" s="1" t="str">
        <f t="shared" si="10"/>
        <v>INSERT INTO schema_db.tokens (token,id_companies,id_user_categories,id_users) VALUES('$2a$10$pbx.09Bo/KZ//CEaMEBSN.Q5USbMFsDhGU/JdHmCNK66kijpHd1nK',1,4,NULL);</v>
      </c>
      <c r="I125"/>
    </row>
    <row r="126" spans="2:11" ht="13" customHeight="1" x14ac:dyDescent="0.35">
      <c r="B126" s="3">
        <v>5</v>
      </c>
      <c r="C126" s="3" t="s">
        <v>25</v>
      </c>
      <c r="D126" s="4">
        <v>1</v>
      </c>
      <c r="E126" s="4">
        <v>4</v>
      </c>
      <c r="F126" s="8" t="s">
        <v>60</v>
      </c>
      <c r="G126" s="8" t="s">
        <v>95</v>
      </c>
      <c r="H126" s="1" t="str">
        <f t="shared" si="10"/>
        <v>INSERT INTO schema_db.tokens (token,id_companies,id_user_categories,id_users) VALUES('$2a$10$XCHGKkK0h1rR3pi3cPFFxeV3WS2ifpSSCifKeleG4nqlKLyYkO1v2',1,4,NULL);</v>
      </c>
      <c r="I126"/>
    </row>
    <row r="127" spans="2:11" ht="13" customHeight="1" x14ac:dyDescent="0.35">
      <c r="B127" s="3">
        <v>6</v>
      </c>
      <c r="C127" s="3" t="s">
        <v>26</v>
      </c>
      <c r="D127" s="4">
        <v>1</v>
      </c>
      <c r="E127" s="4">
        <v>4</v>
      </c>
      <c r="F127" s="8" t="s">
        <v>60</v>
      </c>
      <c r="G127" s="8" t="s">
        <v>95</v>
      </c>
      <c r="H127" s="1" t="str">
        <f t="shared" si="10"/>
        <v>INSERT INTO schema_db.tokens (token,id_companies,id_user_categories,id_users) VALUES('$2a$10$flsRN9KlzpkasdLafnnpKOabpUjztGw0NsrdsBh8xM496jHTZPXHy',1,4,NULL);</v>
      </c>
      <c r="I127"/>
    </row>
    <row r="128" spans="2:11" ht="13" customHeight="1" x14ac:dyDescent="0.35">
      <c r="B128" s="3">
        <v>7</v>
      </c>
      <c r="C128" s="3" t="s">
        <v>27</v>
      </c>
      <c r="D128" s="4">
        <v>1</v>
      </c>
      <c r="E128" s="4">
        <v>4</v>
      </c>
      <c r="F128" s="8" t="s">
        <v>60</v>
      </c>
      <c r="G128" s="8" t="s">
        <v>95</v>
      </c>
      <c r="H128" s="1" t="str">
        <f t="shared" si="10"/>
        <v>INSERT INTO schema_db.tokens (token,id_companies,id_user_categories,id_users) VALUES('$2a$10$GIroy45aYbOioOugKgCAMO7AUVE77HQNt/gwizaTtRtkxh8GPy67C',1,4,NULL);</v>
      </c>
      <c r="I128"/>
    </row>
    <row r="129" spans="2:9" ht="13" customHeight="1" x14ac:dyDescent="0.35">
      <c r="B129" s="3">
        <v>8</v>
      </c>
      <c r="C129" s="3" t="s">
        <v>28</v>
      </c>
      <c r="D129" s="4">
        <v>1</v>
      </c>
      <c r="E129" s="4">
        <v>4</v>
      </c>
      <c r="F129" s="8" t="s">
        <v>60</v>
      </c>
      <c r="G129" s="8" t="s">
        <v>95</v>
      </c>
      <c r="H129" s="1" t="str">
        <f t="shared" si="10"/>
        <v>INSERT INTO schema_db.tokens (token,id_companies,id_user_categories,id_users) VALUES('$2a$10$8NPWP.CiaBlovpVQEX8dTufckp3KxhZpqJj6/UCyt0X.w58kP1Ke2',1,4,NULL);</v>
      </c>
      <c r="I129"/>
    </row>
    <row r="130" spans="2:9" ht="13" customHeight="1" x14ac:dyDescent="0.35">
      <c r="B130" s="3">
        <v>9</v>
      </c>
      <c r="C130" s="3" t="s">
        <v>29</v>
      </c>
      <c r="D130" s="4">
        <v>4</v>
      </c>
      <c r="E130" s="9">
        <v>3</v>
      </c>
      <c r="F130" s="8" t="s">
        <v>60</v>
      </c>
      <c r="G130" s="8" t="s">
        <v>95</v>
      </c>
      <c r="H130" s="1" t="str">
        <f t="shared" si="10"/>
        <v>INSERT INTO schema_db.tokens (token,id_companies,id_user_categories,id_users) VALUES('$2a$10$IvDobQMfy.kbsoXK8qo.Wehob50g1KBu0yMLEbxwKOMfgyFbshNCe',4,3,NULL);</v>
      </c>
      <c r="I130"/>
    </row>
    <row r="131" spans="2:9" ht="13" customHeight="1" x14ac:dyDescent="0.35">
      <c r="B131" s="3">
        <v>10</v>
      </c>
      <c r="C131" s="3" t="s">
        <v>30</v>
      </c>
      <c r="D131" s="4">
        <v>5</v>
      </c>
      <c r="E131" s="4">
        <v>3</v>
      </c>
      <c r="F131" s="8" t="s">
        <v>60</v>
      </c>
      <c r="G131" s="8" t="s">
        <v>95</v>
      </c>
      <c r="H131" s="1" t="str">
        <f t="shared" si="10"/>
        <v>INSERT INTO schema_db.tokens (token,id_companies,id_user_categories,id_users) VALUES('$2a$10$FBnMJiicD2bAq9T1yLIlQOiHdKKEs0pfGWVJYOyM5LZ6f.kmFQHMa',5,3,NULL);</v>
      </c>
      <c r="I131"/>
    </row>
    <row r="132" spans="2:9" ht="13" customHeight="1" x14ac:dyDescent="0.35">
      <c r="B132" s="3">
        <v>11</v>
      </c>
      <c r="C132" s="3" t="s">
        <v>31</v>
      </c>
      <c r="D132" s="4">
        <v>4</v>
      </c>
      <c r="E132" s="4">
        <v>4</v>
      </c>
      <c r="F132" s="8" t="s">
        <v>60</v>
      </c>
      <c r="G132" s="8" t="s">
        <v>95</v>
      </c>
      <c r="H132" s="1" t="str">
        <f t="shared" si="10"/>
        <v>INSERT INTO schema_db.tokens (token,id_companies,id_user_categories,id_users) VALUES('$2a$10$lKnrrX81a3cC.f0OjxiBqOKKgwyypafzNkgYSbtC7uSghc4HVcTgS',4,4,NULL);</v>
      </c>
      <c r="I132"/>
    </row>
    <row r="133" spans="2:9" x14ac:dyDescent="0.25">
      <c r="B133" s="3">
        <v>12</v>
      </c>
      <c r="C133" s="5" t="s">
        <v>32</v>
      </c>
      <c r="D133" s="4">
        <v>5</v>
      </c>
      <c r="E133" s="4">
        <v>2</v>
      </c>
      <c r="F133" s="8" t="s">
        <v>60</v>
      </c>
      <c r="G133" s="8" t="s">
        <v>95</v>
      </c>
      <c r="H133" s="1" t="str">
        <f t="shared" si="10"/>
        <v>INSERT INTO schema_db.tokens (token,id_companies,id_user_categories,id_users) VALUES('$2a$10$Y5RL.6JIBjWbhCu9GhzK1efQVEapDVhgHD5pX0PAml4gv0jK0uBWS',5,2,NULL);</v>
      </c>
    </row>
    <row r="134" spans="2:9" x14ac:dyDescent="0.25">
      <c r="B134" s="3">
        <v>13</v>
      </c>
      <c r="C134" s="5" t="s">
        <v>33</v>
      </c>
      <c r="D134" s="4">
        <v>4</v>
      </c>
      <c r="E134" s="4">
        <v>2</v>
      </c>
      <c r="F134" s="8" t="s">
        <v>60</v>
      </c>
      <c r="G134" s="8" t="s">
        <v>95</v>
      </c>
      <c r="H134" s="1" t="str">
        <f t="shared" si="10"/>
        <v>INSERT INTO schema_db.tokens (token,id_companies,id_user_categories,id_users) VALUES('$2a$10$XCNQtm8A3v0pqZ9R0Tidb.4gW81fW8RLztaAewxQxnfJAKtOminqa',4,2,NULL);</v>
      </c>
    </row>
    <row r="135" spans="2:9" x14ac:dyDescent="0.25">
      <c r="B135" s="3">
        <v>14</v>
      </c>
      <c r="C135" s="5" t="s">
        <v>34</v>
      </c>
      <c r="D135" s="4">
        <v>5</v>
      </c>
      <c r="E135" s="4">
        <v>3</v>
      </c>
      <c r="F135" s="8" t="s">
        <v>60</v>
      </c>
      <c r="G135" s="8" t="s">
        <v>95</v>
      </c>
      <c r="H135" s="1" t="str">
        <f t="shared" si="10"/>
        <v>INSERT INTO schema_db.tokens (token,id_companies,id_user_categories,id_users) VALUES('$2a$10$MdnY.iTY3bRHrJ5uYn7SiOtqyoffo6BptG3jAuNIC4SMOLGRwWtSy',5,3,NULL);</v>
      </c>
    </row>
    <row r="136" spans="2:9" x14ac:dyDescent="0.25">
      <c r="B136" s="3">
        <v>15</v>
      </c>
      <c r="C136" s="5" t="s">
        <v>35</v>
      </c>
      <c r="D136" s="4">
        <v>4</v>
      </c>
      <c r="E136" s="4">
        <v>3</v>
      </c>
      <c r="F136" s="8" t="s">
        <v>60</v>
      </c>
      <c r="G136" s="8" t="s">
        <v>95</v>
      </c>
      <c r="H136" s="1" t="str">
        <f t="shared" si="10"/>
        <v>INSERT INTO schema_db.tokens (token,id_companies,id_user_categories,id_users) VALUES('$2a$10$sPc7TuWF8FlP0uJ86IeEk.4uDkKlJ5msviGY6KNwQB9CqP4o8PT1K',4,3,NULL);</v>
      </c>
    </row>
    <row r="137" spans="2:9" x14ac:dyDescent="0.25">
      <c r="B137" s="3">
        <v>16</v>
      </c>
      <c r="C137" s="5" t="s">
        <v>36</v>
      </c>
      <c r="D137" s="4">
        <v>5</v>
      </c>
      <c r="E137" s="4">
        <v>4</v>
      </c>
      <c r="F137" s="8" t="s">
        <v>60</v>
      </c>
      <c r="G137" s="8" t="s">
        <v>95</v>
      </c>
      <c r="H137" s="1" t="str">
        <f t="shared" si="10"/>
        <v>INSERT INTO schema_db.tokens (token,id_companies,id_user_categories,id_users) VALUES('$2a$10$8XVC0wVqAQ0Ot7kUTABDe.f7uMRmWBCM07tFbO6q/nrx2GPn/HCWO',5,4,NULL);</v>
      </c>
    </row>
    <row r="138" spans="2:9" x14ac:dyDescent="0.25">
      <c r="B138" s="3">
        <v>17</v>
      </c>
      <c r="C138" s="5" t="s">
        <v>37</v>
      </c>
      <c r="D138" s="4">
        <v>4</v>
      </c>
      <c r="E138" s="4">
        <v>4</v>
      </c>
      <c r="F138" s="8" t="s">
        <v>60</v>
      </c>
      <c r="G138" s="8" t="s">
        <v>95</v>
      </c>
      <c r="H138" s="1" t="str">
        <f t="shared" si="10"/>
        <v>INSERT INTO schema_db.tokens (token,id_companies,id_user_categories,id_users) VALUES('$2a$10$ArXX9t7PusIkdqXDfILOxeGVmdClJJOsi574JywD0RbgfwpJtk//.',4,4,NULL);</v>
      </c>
    </row>
    <row r="139" spans="2:9" x14ac:dyDescent="0.25">
      <c r="B139" s="3">
        <v>18</v>
      </c>
      <c r="C139" s="5" t="s">
        <v>38</v>
      </c>
      <c r="D139" s="4">
        <v>5</v>
      </c>
      <c r="E139" s="4">
        <v>2</v>
      </c>
      <c r="F139" s="8" t="s">
        <v>60</v>
      </c>
      <c r="G139" s="8" t="s">
        <v>95</v>
      </c>
      <c r="H139" s="1" t="str">
        <f t="shared" si="10"/>
        <v>INSERT INTO schema_db.tokens (token,id_companies,id_user_categories,id_users) VALUES('$2a$10$nHtVd0xHH7KOIHa.jTkLQuUI01K6v7o7JSRygB6fcpsRrfZa1.eWe',5,2,NULL);</v>
      </c>
    </row>
    <row r="140" spans="2:9" x14ac:dyDescent="0.25">
      <c r="B140" s="3">
        <v>19</v>
      </c>
      <c r="C140" s="5" t="s">
        <v>39</v>
      </c>
      <c r="D140" s="4">
        <v>4</v>
      </c>
      <c r="E140" s="4">
        <v>2</v>
      </c>
      <c r="F140" s="8" t="s">
        <v>60</v>
      </c>
      <c r="G140" s="8" t="s">
        <v>95</v>
      </c>
      <c r="H140" s="1" t="str">
        <f t="shared" si="10"/>
        <v>INSERT INTO schema_db.tokens (token,id_companies,id_user_categories,id_users) VALUES('$2a$10$SBy8vZ7tPVjfeHJ/Otgyjuaouib1lXb393TqIcZ.C/dVpt4RuvdyC',4,2,NULL);</v>
      </c>
    </row>
    <row r="141" spans="2:9" x14ac:dyDescent="0.25">
      <c r="B141" s="3">
        <v>20</v>
      </c>
      <c r="C141" s="5" t="s">
        <v>40</v>
      </c>
      <c r="D141" s="4">
        <v>5</v>
      </c>
      <c r="E141" s="4">
        <v>3</v>
      </c>
      <c r="F141" s="8" t="s">
        <v>60</v>
      </c>
      <c r="G141" s="8" t="s">
        <v>95</v>
      </c>
      <c r="H141" s="1" t="str">
        <f t="shared" si="10"/>
        <v>INSERT INTO schema_db.tokens (token,id_companies,id_user_categories,id_users) VALUES('$2a$10$Kp0x8/XodKF4m.xBb0EyR.wTyOvW2QI4DI6t282WJOcbYZ3m3cwxu',5,3,NULL);</v>
      </c>
    </row>
    <row r="142" spans="2:9" ht="14.5" x14ac:dyDescent="0.35">
      <c r="F142" s="19"/>
    </row>
    <row r="143" spans="2:9" x14ac:dyDescent="0.25">
      <c r="B143" s="1" t="s">
        <v>43</v>
      </c>
    </row>
    <row r="144" spans="2:9" x14ac:dyDescent="0.25">
      <c r="B144" s="2" t="s">
        <v>0</v>
      </c>
      <c r="C144" s="2" t="s">
        <v>102</v>
      </c>
      <c r="D144" s="2" t="s">
        <v>101</v>
      </c>
      <c r="E144" s="2" t="s">
        <v>94</v>
      </c>
      <c r="F144" s="18" t="str">
        <f>+"("&amp;C144&amp;","&amp;D144&amp;","&amp;E144&amp;")"</f>
        <v>(simulator_name,description,enabled)</v>
      </c>
    </row>
    <row r="145" spans="2:8" x14ac:dyDescent="0.25">
      <c r="B145" s="3">
        <v>1</v>
      </c>
      <c r="C145" s="4" t="s">
        <v>44</v>
      </c>
      <c r="D145" s="4" t="s">
        <v>84</v>
      </c>
      <c r="E145" s="4">
        <v>1</v>
      </c>
      <c r="F145" s="18" t="str">
        <f>+"INSERT INTO schema_db." &amp; $B$143 &amp; " " &amp;$F$144&amp;" VALUES('"&amp;C145&amp;"','"&amp;D145&amp;"',"&amp;E145&amp;");"</f>
        <v>INSERT INTO schema_db.simulators (simulator_name,description,enabled) VALUES('simulator1','simulador uno',1);</v>
      </c>
    </row>
    <row r="146" spans="2:8" x14ac:dyDescent="0.25">
      <c r="B146" s="3">
        <v>2</v>
      </c>
      <c r="C146" s="4" t="s">
        <v>45</v>
      </c>
      <c r="D146" s="4" t="s">
        <v>85</v>
      </c>
      <c r="E146" s="4">
        <v>1</v>
      </c>
      <c r="F146" s="18" t="str">
        <f t="shared" ref="F146:F150" si="11">+"INSERT INTO schema_db." &amp; $B$143 &amp; " " &amp;$F$144&amp;" VALUES('"&amp;C146&amp;"','"&amp;D146&amp;"',"&amp;E146&amp;");"</f>
        <v>INSERT INTO schema_db.simulators (simulator_name,description,enabled) VALUES('simulator2','simulador dos',1);</v>
      </c>
    </row>
    <row r="147" spans="2:8" x14ac:dyDescent="0.25">
      <c r="B147" s="3">
        <v>3</v>
      </c>
      <c r="C147" s="4" t="s">
        <v>46</v>
      </c>
      <c r="D147" s="9" t="s">
        <v>86</v>
      </c>
      <c r="E147" s="4">
        <v>1</v>
      </c>
      <c r="F147" s="18" t="str">
        <f t="shared" si="11"/>
        <v>INSERT INTO schema_db.simulators (simulator_name,description,enabled) VALUES('simulator3','simulador tres',1);</v>
      </c>
    </row>
    <row r="148" spans="2:8" x14ac:dyDescent="0.25">
      <c r="B148" s="3">
        <v>4</v>
      </c>
      <c r="C148" s="4" t="s">
        <v>47</v>
      </c>
      <c r="D148" s="4" t="s">
        <v>87</v>
      </c>
      <c r="E148" s="4">
        <v>1</v>
      </c>
      <c r="F148" s="18" t="str">
        <f t="shared" si="11"/>
        <v>INSERT INTO schema_db.simulators (simulator_name,description,enabled) VALUES('simulator4','simulador cuatro',1);</v>
      </c>
    </row>
    <row r="149" spans="2:8" x14ac:dyDescent="0.25">
      <c r="B149" s="3">
        <v>5</v>
      </c>
      <c r="C149" s="4" t="s">
        <v>48</v>
      </c>
      <c r="D149" s="4" t="s">
        <v>88</v>
      </c>
      <c r="E149" s="4">
        <v>1</v>
      </c>
      <c r="F149" s="18" t="str">
        <f t="shared" si="11"/>
        <v>INSERT INTO schema_db.simulators (simulator_name,description,enabled) VALUES('simulator5','simulador cinco',1);</v>
      </c>
    </row>
    <row r="150" spans="2:8" x14ac:dyDescent="0.25">
      <c r="B150" s="3">
        <v>6</v>
      </c>
      <c r="C150" s="4" t="s">
        <v>49</v>
      </c>
      <c r="D150" s="4" t="s">
        <v>89</v>
      </c>
      <c r="E150" s="4">
        <v>1</v>
      </c>
      <c r="F150" s="18" t="str">
        <f t="shared" si="11"/>
        <v>INSERT INTO schema_db.simulators (simulator_name,description,enabled) VALUES('simulator6','simulador seis',1);</v>
      </c>
    </row>
    <row r="152" spans="2:8" x14ac:dyDescent="0.25">
      <c r="B152" s="1" t="s">
        <v>50</v>
      </c>
    </row>
    <row r="153" spans="2:8" x14ac:dyDescent="0.25">
      <c r="B153" s="2" t="s">
        <v>0</v>
      </c>
      <c r="C153" s="2" t="s">
        <v>51</v>
      </c>
      <c r="D153" s="2" t="s">
        <v>96</v>
      </c>
      <c r="E153" s="2" t="s">
        <v>13</v>
      </c>
      <c r="F153" s="2" t="s">
        <v>103</v>
      </c>
      <c r="G153" s="2" t="s">
        <v>94</v>
      </c>
      <c r="H153" s="1" t="str">
        <f>+"("&amp;C153&amp;","&amp;D153&amp;","&amp;E153&amp;","&amp;F153&amp;","&amp;G153&amp;")"</f>
        <v>(course_name,course_description,id_companies,course_number,enabled)</v>
      </c>
    </row>
    <row r="154" spans="2:8" x14ac:dyDescent="0.25">
      <c r="B154" s="3">
        <v>1</v>
      </c>
      <c r="C154" s="4" t="s">
        <v>52</v>
      </c>
      <c r="D154" s="4" t="str">
        <f>+"description "&amp;C154</f>
        <v>description course1</v>
      </c>
      <c r="E154" s="4">
        <v>1</v>
      </c>
      <c r="F154" s="4">
        <v>1</v>
      </c>
      <c r="G154" s="4">
        <v>1</v>
      </c>
      <c r="H154" s="1" t="str">
        <f>+"INSERT INTO schema_db." &amp; $B$152 &amp; " " &amp;$H$153&amp;" VALUES('"&amp;C154&amp;"','"&amp;D154&amp;"',"&amp;E154&amp;","&amp;F154&amp;","&amp;G154&amp;");"</f>
        <v>INSERT INTO schema_db.courses (course_name,course_description,id_companies,course_number,enabled) VALUES('course1','description course1',1,1,1);</v>
      </c>
    </row>
    <row r="155" spans="2:8" x14ac:dyDescent="0.25">
      <c r="B155" s="3">
        <v>2</v>
      </c>
      <c r="C155" s="4" t="s">
        <v>53</v>
      </c>
      <c r="D155" s="4" t="str">
        <f t="shared" ref="D155:D158" si="12">+"description "&amp;C155</f>
        <v>description course2</v>
      </c>
      <c r="E155" s="4">
        <v>1</v>
      </c>
      <c r="F155" s="4">
        <v>2</v>
      </c>
      <c r="G155" s="4">
        <v>1</v>
      </c>
      <c r="H155" s="1" t="str">
        <f t="shared" ref="H155:H158" si="13">+"INSERT INTO schema_db." &amp; $B$152 &amp; " " &amp;$H$153&amp;" VALUES('"&amp;C155&amp;"','"&amp;D155&amp;"',"&amp;E155&amp;","&amp;F155&amp;","&amp;G155&amp;");"</f>
        <v>INSERT INTO schema_db.courses (course_name,course_description,id_companies,course_number,enabled) VALUES('course2','description course2',1,2,1);</v>
      </c>
    </row>
    <row r="156" spans="2:8" x14ac:dyDescent="0.25">
      <c r="B156" s="3">
        <v>3</v>
      </c>
      <c r="C156" s="4" t="s">
        <v>54</v>
      </c>
      <c r="D156" s="4" t="str">
        <f t="shared" si="12"/>
        <v>description course3</v>
      </c>
      <c r="E156" s="4">
        <v>1</v>
      </c>
      <c r="F156" s="4">
        <v>3</v>
      </c>
      <c r="G156" s="4">
        <v>1</v>
      </c>
      <c r="H156" s="1" t="str">
        <f t="shared" si="13"/>
        <v>INSERT INTO schema_db.courses (course_name,course_description,id_companies,course_number,enabled) VALUES('course3','description course3',1,3,1);</v>
      </c>
    </row>
    <row r="157" spans="2:8" x14ac:dyDescent="0.25">
      <c r="B157" s="3">
        <v>4</v>
      </c>
      <c r="C157" s="4" t="s">
        <v>55</v>
      </c>
      <c r="D157" s="4" t="str">
        <f t="shared" si="12"/>
        <v>description course4</v>
      </c>
      <c r="E157" s="4">
        <v>4</v>
      </c>
      <c r="F157" s="4">
        <v>1</v>
      </c>
      <c r="G157" s="4">
        <v>1</v>
      </c>
      <c r="H157" s="1" t="str">
        <f t="shared" si="13"/>
        <v>INSERT INTO schema_db.courses (course_name,course_description,id_companies,course_number,enabled) VALUES('course4','description course4',4,1,1);</v>
      </c>
    </row>
    <row r="158" spans="2:8" x14ac:dyDescent="0.25">
      <c r="B158" s="3">
        <v>5</v>
      </c>
      <c r="C158" s="4" t="s">
        <v>56</v>
      </c>
      <c r="D158" s="4" t="str">
        <f t="shared" si="12"/>
        <v>description course5</v>
      </c>
      <c r="E158" s="4">
        <v>5</v>
      </c>
      <c r="F158" s="4">
        <v>1</v>
      </c>
      <c r="G158" s="4">
        <v>1</v>
      </c>
      <c r="H158" s="1" t="str">
        <f t="shared" si="13"/>
        <v>INSERT INTO schema_db.courses (course_name,course_description,id_companies,course_number,enabled) VALUES('course5','description course5',5,1,1);</v>
      </c>
    </row>
    <row r="160" spans="2:8" x14ac:dyDescent="0.25">
      <c r="B160" s="1" t="s">
        <v>104</v>
      </c>
    </row>
    <row r="161" spans="2:9" x14ac:dyDescent="0.25">
      <c r="B161" s="2" t="s">
        <v>0</v>
      </c>
      <c r="C161" s="2" t="s">
        <v>57</v>
      </c>
      <c r="D161" s="2" t="s">
        <v>62</v>
      </c>
      <c r="E161" s="2" t="s">
        <v>63</v>
      </c>
      <c r="F161" s="2" t="s">
        <v>90</v>
      </c>
      <c r="G161" s="2" t="s">
        <v>59</v>
      </c>
      <c r="H161" s="2" t="s">
        <v>94</v>
      </c>
      <c r="I161" s="1" t="str">
        <f>+"("&amp;C161&amp;","&amp;D161&amp;","&amp;E161&amp;","&amp;F161&amp;","&amp;G161&amp;","&amp;H161&amp;")"</f>
        <v>(id_courses,start_date,end_date,commission,id_teachers,enabled)</v>
      </c>
    </row>
    <row r="162" spans="2:9" x14ac:dyDescent="0.25">
      <c r="B162" s="3">
        <v>1</v>
      </c>
      <c r="C162" s="4">
        <v>1</v>
      </c>
      <c r="D162" s="10">
        <v>44927</v>
      </c>
      <c r="E162" s="10">
        <v>45108</v>
      </c>
      <c r="F162" s="4" t="s">
        <v>64</v>
      </c>
      <c r="G162" s="4">
        <v>5</v>
      </c>
      <c r="H162" s="8">
        <v>1</v>
      </c>
      <c r="I162" s="1" t="str">
        <f>+"INSERT INTO schema_db." &amp; $B$160 &amp; " " &amp;$I$161&amp;" VALUES("&amp;C162&amp;","&amp;D162&amp;","&amp;E162&amp;","&amp;G162&amp;",'"&amp;H162&amp;"');"</f>
        <v>INSERT INTO schema_db.course_commissions (id_courses,start_date,end_date,commission,id_teachers,enabled) VALUES(1,44927,45108,5,'1');</v>
      </c>
    </row>
    <row r="163" spans="2:9" x14ac:dyDescent="0.25">
      <c r="B163" s="3">
        <v>2</v>
      </c>
      <c r="C163" s="4">
        <v>1</v>
      </c>
      <c r="D163" s="10">
        <v>44958</v>
      </c>
      <c r="E163" s="10">
        <v>45139</v>
      </c>
      <c r="F163" s="4" t="s">
        <v>65</v>
      </c>
      <c r="G163" s="4">
        <v>5</v>
      </c>
      <c r="H163" s="8">
        <v>1</v>
      </c>
      <c r="I163" s="1" t="str">
        <f t="shared" ref="I163:I181" si="14">+"INSERT INTO schema_db." &amp; $B$160 &amp; " " &amp;$J$161&amp;" VALUES("&amp;B163&amp;","&amp;C163&amp;","&amp;F163&amp;","&amp;G163&amp;",'"&amp;H163&amp;"');"</f>
        <v>INSERT INTO schema_db.course_commissions  VALUES(2,1,#0010002,5,'1');</v>
      </c>
    </row>
    <row r="164" spans="2:9" x14ac:dyDescent="0.25">
      <c r="B164" s="3">
        <v>3</v>
      </c>
      <c r="C164" s="4">
        <v>1</v>
      </c>
      <c r="D164" s="10">
        <v>44986</v>
      </c>
      <c r="E164" s="10">
        <v>45047</v>
      </c>
      <c r="F164" s="4" t="s">
        <v>66</v>
      </c>
      <c r="G164" s="4">
        <v>5</v>
      </c>
      <c r="H164" s="8">
        <v>1</v>
      </c>
      <c r="I164" s="1" t="str">
        <f t="shared" si="14"/>
        <v>INSERT INTO schema_db.course_commissions  VALUES(3,1,#0010003,5,'1');</v>
      </c>
    </row>
    <row r="165" spans="2:9" x14ac:dyDescent="0.25">
      <c r="B165" s="3">
        <v>4</v>
      </c>
      <c r="C165" s="4">
        <v>1</v>
      </c>
      <c r="D165" s="10">
        <v>45047</v>
      </c>
      <c r="E165" s="10">
        <v>45139</v>
      </c>
      <c r="F165" s="4" t="s">
        <v>67</v>
      </c>
      <c r="G165" s="4">
        <v>5</v>
      </c>
      <c r="H165" s="8">
        <v>1</v>
      </c>
      <c r="I165" s="1" t="str">
        <f t="shared" si="14"/>
        <v>INSERT INTO schema_db.course_commissions  VALUES(4,1,#0010004,5,'1');</v>
      </c>
    </row>
    <row r="166" spans="2:9" x14ac:dyDescent="0.25">
      <c r="B166" s="3">
        <v>5</v>
      </c>
      <c r="C166" s="4">
        <v>2</v>
      </c>
      <c r="D166" s="10">
        <v>44927</v>
      </c>
      <c r="E166" s="10">
        <v>45108</v>
      </c>
      <c r="F166" s="4" t="s">
        <v>68</v>
      </c>
      <c r="G166" s="4">
        <v>5</v>
      </c>
      <c r="H166" s="8">
        <v>1</v>
      </c>
      <c r="I166" s="1" t="str">
        <f t="shared" si="14"/>
        <v>INSERT INTO schema_db.course_commissions  VALUES(5,2,#0020001,5,'1');</v>
      </c>
    </row>
    <row r="167" spans="2:9" x14ac:dyDescent="0.25">
      <c r="B167" s="3">
        <v>6</v>
      </c>
      <c r="C167" s="4">
        <v>2</v>
      </c>
      <c r="D167" s="10">
        <v>44958</v>
      </c>
      <c r="E167" s="10">
        <v>45139</v>
      </c>
      <c r="F167" s="4" t="s">
        <v>69</v>
      </c>
      <c r="G167" s="4">
        <v>6</v>
      </c>
      <c r="H167" s="8">
        <v>1</v>
      </c>
      <c r="I167" s="1" t="str">
        <f t="shared" si="14"/>
        <v>INSERT INTO schema_db.course_commissions  VALUES(6,2,#0020002,6,'1');</v>
      </c>
    </row>
    <row r="168" spans="2:9" x14ac:dyDescent="0.25">
      <c r="B168" s="3">
        <v>7</v>
      </c>
      <c r="C168" s="4">
        <v>2</v>
      </c>
      <c r="D168" s="10">
        <v>44986</v>
      </c>
      <c r="E168" s="10">
        <v>45047</v>
      </c>
      <c r="F168" s="4" t="s">
        <v>70</v>
      </c>
      <c r="G168" s="4">
        <v>6</v>
      </c>
      <c r="H168" s="8">
        <v>1</v>
      </c>
      <c r="I168" s="1" t="str">
        <f t="shared" si="14"/>
        <v>INSERT INTO schema_db.course_commissions  VALUES(7,2,#0020003,6,'1');</v>
      </c>
    </row>
    <row r="169" spans="2:9" x14ac:dyDescent="0.25">
      <c r="B169" s="3">
        <v>8</v>
      </c>
      <c r="C169" s="4">
        <v>2</v>
      </c>
      <c r="D169" s="10">
        <v>45047</v>
      </c>
      <c r="E169" s="10">
        <v>45139</v>
      </c>
      <c r="F169" s="4" t="s">
        <v>71</v>
      </c>
      <c r="G169" s="4">
        <v>6</v>
      </c>
      <c r="H169" s="8">
        <v>1</v>
      </c>
      <c r="I169" s="1" t="str">
        <f t="shared" si="14"/>
        <v>INSERT INTO schema_db.course_commissions  VALUES(8,2,#0020004,6,'1');</v>
      </c>
    </row>
    <row r="170" spans="2:9" x14ac:dyDescent="0.25">
      <c r="B170" s="3">
        <v>9</v>
      </c>
      <c r="C170" s="4">
        <v>3</v>
      </c>
      <c r="D170" s="10">
        <v>44927</v>
      </c>
      <c r="E170" s="10">
        <v>45108</v>
      </c>
      <c r="F170" s="4" t="s">
        <v>72</v>
      </c>
      <c r="G170" s="4">
        <v>6</v>
      </c>
      <c r="H170" s="8">
        <v>1</v>
      </c>
      <c r="I170" s="1" t="str">
        <f t="shared" si="14"/>
        <v>INSERT INTO schema_db.course_commissions  VALUES(9,3,#0030001,6,'1');</v>
      </c>
    </row>
    <row r="171" spans="2:9" x14ac:dyDescent="0.25">
      <c r="B171" s="3">
        <v>10</v>
      </c>
      <c r="C171" s="4">
        <v>3</v>
      </c>
      <c r="D171" s="10">
        <v>44958</v>
      </c>
      <c r="E171" s="10">
        <v>45139</v>
      </c>
      <c r="F171" s="4" t="s">
        <v>73</v>
      </c>
      <c r="G171" s="4">
        <v>5</v>
      </c>
      <c r="H171" s="8">
        <v>1</v>
      </c>
      <c r="I171" s="1" t="str">
        <f t="shared" si="14"/>
        <v>INSERT INTO schema_db.course_commissions  VALUES(10,3,#0030002,5,'1');</v>
      </c>
    </row>
    <row r="172" spans="2:9" x14ac:dyDescent="0.25">
      <c r="B172" s="3">
        <v>11</v>
      </c>
      <c r="C172" s="4">
        <v>3</v>
      </c>
      <c r="D172" s="10">
        <v>44986</v>
      </c>
      <c r="E172" s="10">
        <v>45047</v>
      </c>
      <c r="F172" s="4" t="s">
        <v>74</v>
      </c>
      <c r="G172" s="4">
        <v>5</v>
      </c>
      <c r="H172" s="8">
        <v>1</v>
      </c>
      <c r="I172" s="1" t="str">
        <f t="shared" si="14"/>
        <v>INSERT INTO schema_db.course_commissions  VALUES(11,3,#0030003,5,'1');</v>
      </c>
    </row>
    <row r="173" spans="2:9" x14ac:dyDescent="0.25">
      <c r="B173" s="3">
        <v>12</v>
      </c>
      <c r="C173" s="4">
        <v>3</v>
      </c>
      <c r="D173" s="10">
        <v>45047</v>
      </c>
      <c r="E173" s="10">
        <v>45139</v>
      </c>
      <c r="F173" s="4" t="s">
        <v>75</v>
      </c>
      <c r="G173" s="4">
        <v>5</v>
      </c>
      <c r="H173" s="8">
        <v>1</v>
      </c>
      <c r="I173" s="1" t="str">
        <f t="shared" si="14"/>
        <v>INSERT INTO schema_db.course_commissions  VALUES(12,3,#0030004,5,'1');</v>
      </c>
    </row>
    <row r="174" spans="2:9" x14ac:dyDescent="0.25">
      <c r="B174" s="3">
        <v>13</v>
      </c>
      <c r="C174" s="4">
        <v>4</v>
      </c>
      <c r="D174" s="10">
        <v>44927</v>
      </c>
      <c r="E174" s="10">
        <v>45108</v>
      </c>
      <c r="F174" s="4" t="s">
        <v>76</v>
      </c>
      <c r="G174" s="4">
        <v>5</v>
      </c>
      <c r="H174" s="8">
        <v>1</v>
      </c>
      <c r="I174" s="1" t="str">
        <f t="shared" si="14"/>
        <v>INSERT INTO schema_db.course_commissions  VALUES(13,4,#0040001,5,'1');</v>
      </c>
    </row>
    <row r="175" spans="2:9" x14ac:dyDescent="0.25">
      <c r="B175" s="3">
        <v>14</v>
      </c>
      <c r="C175" s="4">
        <v>4</v>
      </c>
      <c r="D175" s="10">
        <v>44958</v>
      </c>
      <c r="E175" s="10">
        <v>45139</v>
      </c>
      <c r="F175" s="4" t="s">
        <v>77</v>
      </c>
      <c r="G175" s="4">
        <v>5</v>
      </c>
      <c r="H175" s="8">
        <v>1</v>
      </c>
      <c r="I175" s="1" t="str">
        <f t="shared" si="14"/>
        <v>INSERT INTO schema_db.course_commissions  VALUES(14,4,#0040002,5,'1');</v>
      </c>
    </row>
    <row r="176" spans="2:9" x14ac:dyDescent="0.25">
      <c r="B176" s="3">
        <v>15</v>
      </c>
      <c r="C176" s="4">
        <v>4</v>
      </c>
      <c r="D176" s="10">
        <v>44986</v>
      </c>
      <c r="E176" s="10">
        <v>45047</v>
      </c>
      <c r="F176" s="4" t="s">
        <v>78</v>
      </c>
      <c r="G176" s="4">
        <v>6</v>
      </c>
      <c r="H176" s="8">
        <v>1</v>
      </c>
      <c r="I176" s="1" t="str">
        <f t="shared" si="14"/>
        <v>INSERT INTO schema_db.course_commissions  VALUES(15,4,#0040003,6,'1');</v>
      </c>
    </row>
    <row r="177" spans="2:9" x14ac:dyDescent="0.25">
      <c r="B177" s="3">
        <v>16</v>
      </c>
      <c r="C177" s="4">
        <v>4</v>
      </c>
      <c r="D177" s="10">
        <v>45047</v>
      </c>
      <c r="E177" s="10">
        <v>45139</v>
      </c>
      <c r="F177" s="4" t="s">
        <v>79</v>
      </c>
      <c r="G177" s="4">
        <v>6</v>
      </c>
      <c r="H177" s="8">
        <v>1</v>
      </c>
      <c r="I177" s="1" t="str">
        <f t="shared" si="14"/>
        <v>INSERT INTO schema_db.course_commissions  VALUES(16,4,#0040004,6,'1');</v>
      </c>
    </row>
    <row r="178" spans="2:9" x14ac:dyDescent="0.25">
      <c r="B178" s="3">
        <v>17</v>
      </c>
      <c r="C178" s="4">
        <v>5</v>
      </c>
      <c r="D178" s="10">
        <v>44927</v>
      </c>
      <c r="E178" s="10">
        <v>45108</v>
      </c>
      <c r="F178" s="4" t="s">
        <v>80</v>
      </c>
      <c r="G178" s="4">
        <v>6</v>
      </c>
      <c r="H178" s="8">
        <v>1</v>
      </c>
      <c r="I178" s="1" t="str">
        <f t="shared" si="14"/>
        <v>INSERT INTO schema_db.course_commissions  VALUES(17,5,#0050001,6,'1');</v>
      </c>
    </row>
    <row r="179" spans="2:9" x14ac:dyDescent="0.25">
      <c r="B179" s="3">
        <v>18</v>
      </c>
      <c r="C179" s="4">
        <v>5</v>
      </c>
      <c r="D179" s="10">
        <v>44958</v>
      </c>
      <c r="E179" s="10">
        <v>45139</v>
      </c>
      <c r="F179" s="4" t="s">
        <v>81</v>
      </c>
      <c r="G179" s="4">
        <v>6</v>
      </c>
      <c r="H179" s="8">
        <v>1</v>
      </c>
      <c r="I179" s="1" t="str">
        <f t="shared" si="14"/>
        <v>INSERT INTO schema_db.course_commissions  VALUES(18,5,#0050002,6,'1');</v>
      </c>
    </row>
    <row r="180" spans="2:9" x14ac:dyDescent="0.25">
      <c r="B180" s="3">
        <v>19</v>
      </c>
      <c r="C180" s="4">
        <v>5</v>
      </c>
      <c r="D180" s="10">
        <v>44986</v>
      </c>
      <c r="E180" s="10">
        <v>45047</v>
      </c>
      <c r="F180" s="4" t="s">
        <v>82</v>
      </c>
      <c r="G180" s="4">
        <v>5</v>
      </c>
      <c r="H180" s="8">
        <v>1</v>
      </c>
      <c r="I180" s="1" t="str">
        <f t="shared" si="14"/>
        <v>INSERT INTO schema_db.course_commissions  VALUES(19,5,#0050003,5,'1');</v>
      </c>
    </row>
    <row r="181" spans="2:9" x14ac:dyDescent="0.25">
      <c r="B181" s="3">
        <v>20</v>
      </c>
      <c r="C181" s="4">
        <v>5</v>
      </c>
      <c r="D181" s="10">
        <v>45047</v>
      </c>
      <c r="E181" s="10">
        <v>45139</v>
      </c>
      <c r="F181" s="4" t="s">
        <v>83</v>
      </c>
      <c r="G181" s="4">
        <v>5</v>
      </c>
      <c r="H181" s="8">
        <v>1</v>
      </c>
      <c r="I181" s="1" t="str">
        <f t="shared" si="14"/>
        <v>INSERT INTO schema_db.course_commissions  VALUES(20,5,#0050004,5,'1');</v>
      </c>
    </row>
    <row r="183" spans="2:9" s="11" customFormat="1" x14ac:dyDescent="0.25">
      <c r="B183" s="1" t="s">
        <v>100</v>
      </c>
      <c r="F183" s="20"/>
    </row>
    <row r="184" spans="2:9" s="11" customFormat="1" x14ac:dyDescent="0.25">
      <c r="B184" s="12" t="s">
        <v>0</v>
      </c>
      <c r="C184" s="12" t="s">
        <v>57</v>
      </c>
      <c r="D184" s="12" t="s">
        <v>58</v>
      </c>
      <c r="E184" s="12" t="s">
        <v>99</v>
      </c>
      <c r="F184" s="20" t="str">
        <f>+"("&amp;C184&amp;","&amp;D184&amp;")"</f>
        <v>(id_courses,id_simulators)</v>
      </c>
    </row>
    <row r="185" spans="2:9" s="11" customFormat="1" x14ac:dyDescent="0.25">
      <c r="B185" s="7">
        <v>1</v>
      </c>
      <c r="C185" s="4">
        <v>1</v>
      </c>
      <c r="D185" s="9">
        <v>1</v>
      </c>
      <c r="E185" s="9"/>
      <c r="F185" s="20" t="str">
        <f t="shared" ref="F185:F204" si="15">+"INSERT INTO schema_db." &amp; $B$183 &amp; " " &amp;$F$184&amp;" VALUES('"&amp;C185&amp;"',"&amp;D185&amp;");"</f>
        <v>INSERT INTO schema_db.course_simulators_exercises (id_courses,id_simulators) VALUES('1',1);</v>
      </c>
    </row>
    <row r="186" spans="2:9" s="11" customFormat="1" x14ac:dyDescent="0.25">
      <c r="B186" s="7">
        <v>2</v>
      </c>
      <c r="C186" s="4">
        <v>1</v>
      </c>
      <c r="D186" s="9">
        <v>2</v>
      </c>
      <c r="E186" s="9"/>
      <c r="F186" s="20" t="str">
        <f t="shared" si="15"/>
        <v>INSERT INTO schema_db.course_simulators_exercises (id_courses,id_simulators) VALUES('1',2);</v>
      </c>
    </row>
    <row r="187" spans="2:9" s="11" customFormat="1" x14ac:dyDescent="0.25">
      <c r="B187" s="7">
        <v>3</v>
      </c>
      <c r="C187" s="4">
        <v>1</v>
      </c>
      <c r="D187" s="9">
        <v>3</v>
      </c>
      <c r="E187" s="9"/>
      <c r="F187" s="20" t="str">
        <f t="shared" si="15"/>
        <v>INSERT INTO schema_db.course_simulators_exercises (id_courses,id_simulators) VALUES('1',3);</v>
      </c>
    </row>
    <row r="188" spans="2:9" s="11" customFormat="1" x14ac:dyDescent="0.25">
      <c r="B188" s="7">
        <v>4</v>
      </c>
      <c r="C188" s="4">
        <v>1</v>
      </c>
      <c r="D188" s="9">
        <v>4</v>
      </c>
      <c r="E188" s="9"/>
      <c r="F188" s="20" t="str">
        <f t="shared" si="15"/>
        <v>INSERT INTO schema_db.course_simulators_exercises (id_courses,id_simulators) VALUES('1',4);</v>
      </c>
    </row>
    <row r="189" spans="2:9" s="11" customFormat="1" x14ac:dyDescent="0.25">
      <c r="B189" s="7">
        <v>5</v>
      </c>
      <c r="C189" s="4">
        <v>2</v>
      </c>
      <c r="D189" s="9">
        <v>5</v>
      </c>
      <c r="E189" s="9"/>
      <c r="F189" s="20" t="str">
        <f t="shared" si="15"/>
        <v>INSERT INTO schema_db.course_simulators_exercises (id_courses,id_simulators) VALUES('2',5);</v>
      </c>
    </row>
    <row r="190" spans="2:9" s="11" customFormat="1" x14ac:dyDescent="0.25">
      <c r="B190" s="7">
        <v>6</v>
      </c>
      <c r="C190" s="4">
        <v>2</v>
      </c>
      <c r="D190" s="9">
        <v>6</v>
      </c>
      <c r="E190" s="9"/>
      <c r="F190" s="20" t="str">
        <f t="shared" si="15"/>
        <v>INSERT INTO schema_db.course_simulators_exercises (id_courses,id_simulators) VALUES('2',6);</v>
      </c>
    </row>
    <row r="191" spans="2:9" s="11" customFormat="1" x14ac:dyDescent="0.25">
      <c r="B191" s="7">
        <v>7</v>
      </c>
      <c r="C191" s="4">
        <v>2</v>
      </c>
      <c r="D191" s="9">
        <v>1</v>
      </c>
      <c r="E191" s="9"/>
      <c r="F191" s="20" t="str">
        <f t="shared" si="15"/>
        <v>INSERT INTO schema_db.course_simulators_exercises (id_courses,id_simulators) VALUES('2',1);</v>
      </c>
    </row>
    <row r="192" spans="2:9" s="11" customFormat="1" x14ac:dyDescent="0.25">
      <c r="B192" s="7">
        <v>8</v>
      </c>
      <c r="C192" s="4">
        <v>2</v>
      </c>
      <c r="D192" s="9">
        <v>2</v>
      </c>
      <c r="E192" s="9"/>
      <c r="F192" s="20" t="str">
        <f t="shared" si="15"/>
        <v>INSERT INTO schema_db.course_simulators_exercises (id_courses,id_simulators) VALUES('2',2);</v>
      </c>
    </row>
    <row r="193" spans="2:6" s="11" customFormat="1" x14ac:dyDescent="0.25">
      <c r="B193" s="7">
        <v>9</v>
      </c>
      <c r="C193" s="4">
        <v>3</v>
      </c>
      <c r="D193" s="9">
        <v>3</v>
      </c>
      <c r="E193" s="9"/>
      <c r="F193" s="20" t="str">
        <f t="shared" si="15"/>
        <v>INSERT INTO schema_db.course_simulators_exercises (id_courses,id_simulators) VALUES('3',3);</v>
      </c>
    </row>
    <row r="194" spans="2:6" s="11" customFormat="1" x14ac:dyDescent="0.25">
      <c r="B194" s="7">
        <v>10</v>
      </c>
      <c r="C194" s="4">
        <v>3</v>
      </c>
      <c r="D194" s="9">
        <v>4</v>
      </c>
      <c r="E194" s="9"/>
      <c r="F194" s="20" t="str">
        <f t="shared" si="15"/>
        <v>INSERT INTO schema_db.course_simulators_exercises (id_courses,id_simulators) VALUES('3',4);</v>
      </c>
    </row>
    <row r="195" spans="2:6" x14ac:dyDescent="0.25">
      <c r="B195" s="3">
        <v>11</v>
      </c>
      <c r="C195" s="4">
        <v>3</v>
      </c>
      <c r="D195" s="4">
        <v>5</v>
      </c>
      <c r="E195" s="4"/>
      <c r="F195" s="18" t="str">
        <f t="shared" si="15"/>
        <v>INSERT INTO schema_db.course_simulators_exercises (id_courses,id_simulators) VALUES('3',5);</v>
      </c>
    </row>
    <row r="196" spans="2:6" x14ac:dyDescent="0.25">
      <c r="B196" s="3">
        <v>12</v>
      </c>
      <c r="C196" s="4">
        <v>3</v>
      </c>
      <c r="D196" s="4">
        <v>6</v>
      </c>
      <c r="E196" s="4"/>
      <c r="F196" s="18" t="str">
        <f t="shared" si="15"/>
        <v>INSERT INTO schema_db.course_simulators_exercises (id_courses,id_simulators) VALUES('3',6);</v>
      </c>
    </row>
    <row r="197" spans="2:6" x14ac:dyDescent="0.25">
      <c r="B197" s="3">
        <v>13</v>
      </c>
      <c r="C197" s="4">
        <v>4</v>
      </c>
      <c r="D197" s="4">
        <v>1</v>
      </c>
      <c r="E197" s="4"/>
      <c r="F197" s="18" t="str">
        <f t="shared" si="15"/>
        <v>INSERT INTO schema_db.course_simulators_exercises (id_courses,id_simulators) VALUES('4',1);</v>
      </c>
    </row>
    <row r="198" spans="2:6" x14ac:dyDescent="0.25">
      <c r="B198" s="3">
        <v>14</v>
      </c>
      <c r="C198" s="4">
        <v>4</v>
      </c>
      <c r="D198" s="4">
        <v>2</v>
      </c>
      <c r="E198" s="4"/>
      <c r="F198" s="18" t="str">
        <f t="shared" si="15"/>
        <v>INSERT INTO schema_db.course_simulators_exercises (id_courses,id_simulators) VALUES('4',2);</v>
      </c>
    </row>
    <row r="199" spans="2:6" x14ac:dyDescent="0.25">
      <c r="B199" s="3">
        <v>15</v>
      </c>
      <c r="C199" s="4">
        <v>4</v>
      </c>
      <c r="D199" s="4">
        <v>3</v>
      </c>
      <c r="E199" s="4"/>
      <c r="F199" s="18" t="str">
        <f t="shared" si="15"/>
        <v>INSERT INTO schema_db.course_simulators_exercises (id_courses,id_simulators) VALUES('4',3);</v>
      </c>
    </row>
    <row r="200" spans="2:6" x14ac:dyDescent="0.25">
      <c r="B200" s="3">
        <v>16</v>
      </c>
      <c r="C200" s="4">
        <v>4</v>
      </c>
      <c r="D200" s="4">
        <v>4</v>
      </c>
      <c r="E200" s="4"/>
      <c r="F200" s="18" t="str">
        <f t="shared" si="15"/>
        <v>INSERT INTO schema_db.course_simulators_exercises (id_courses,id_simulators) VALUES('4',4);</v>
      </c>
    </row>
    <row r="201" spans="2:6" x14ac:dyDescent="0.25">
      <c r="B201" s="3">
        <v>17</v>
      </c>
      <c r="C201" s="4">
        <v>5</v>
      </c>
      <c r="D201" s="4">
        <v>5</v>
      </c>
      <c r="E201" s="4"/>
      <c r="F201" s="18" t="str">
        <f t="shared" si="15"/>
        <v>INSERT INTO schema_db.course_simulators_exercises (id_courses,id_simulators) VALUES('5',5);</v>
      </c>
    </row>
    <row r="202" spans="2:6" x14ac:dyDescent="0.25">
      <c r="B202" s="3">
        <v>18</v>
      </c>
      <c r="C202" s="4">
        <v>5</v>
      </c>
      <c r="D202" s="4">
        <v>6</v>
      </c>
      <c r="E202" s="4"/>
      <c r="F202" s="18" t="str">
        <f t="shared" si="15"/>
        <v>INSERT INTO schema_db.course_simulators_exercises (id_courses,id_simulators) VALUES('5',6);</v>
      </c>
    </row>
    <row r="203" spans="2:6" x14ac:dyDescent="0.25">
      <c r="B203" s="3">
        <v>19</v>
      </c>
      <c r="C203" s="4">
        <v>5</v>
      </c>
      <c r="D203" s="4">
        <v>1</v>
      </c>
      <c r="E203" s="4"/>
      <c r="F203" s="18" t="str">
        <f t="shared" si="15"/>
        <v>INSERT INTO schema_db.course_simulators_exercises (id_courses,id_simulators) VALUES('5',1);</v>
      </c>
    </row>
    <row r="204" spans="2:6" x14ac:dyDescent="0.25">
      <c r="B204" s="3">
        <v>20</v>
      </c>
      <c r="C204" s="4">
        <v>5</v>
      </c>
      <c r="D204" s="4">
        <v>2</v>
      </c>
      <c r="E204" s="4"/>
      <c r="F204" s="18" t="str">
        <f t="shared" si="15"/>
        <v>INSERT INTO schema_db.course_simulators_exercises (id_courses,id_simulators) VALUES('5',2);</v>
      </c>
    </row>
    <row r="206" spans="2:6" x14ac:dyDescent="0.25">
      <c r="B206" s="1" t="s">
        <v>91</v>
      </c>
    </row>
    <row r="207" spans="2:6" x14ac:dyDescent="0.25">
      <c r="B207" s="2" t="s">
        <v>0</v>
      </c>
      <c r="C207" s="2" t="s">
        <v>97</v>
      </c>
      <c r="D207" s="2" t="s">
        <v>61</v>
      </c>
      <c r="E207" s="1" t="str">
        <f>+"("&amp;C207&amp;","&amp;D207&amp;")"</f>
        <v>(id_course_commission,id_users)</v>
      </c>
    </row>
    <row r="208" spans="2:6" x14ac:dyDescent="0.25">
      <c r="B208" s="3">
        <v>1</v>
      </c>
      <c r="C208" s="4">
        <v>1</v>
      </c>
      <c r="D208" s="4">
        <v>7</v>
      </c>
      <c r="E208" s="1" t="str">
        <f>+"INSERT INTO schema_db." &amp; $B$206 &amp; " " &amp;$E$207&amp;" VALUES('"&amp;C208&amp;"',"&amp;D208&amp;");"</f>
        <v>INSERT INTO schema_db.course_commissions_students (id_course_commission,id_users) VALUES('1',7);</v>
      </c>
    </row>
    <row r="209" spans="2:5" x14ac:dyDescent="0.25">
      <c r="B209" s="3">
        <v>2</v>
      </c>
      <c r="C209" s="4">
        <v>1</v>
      </c>
      <c r="D209" s="4">
        <v>8</v>
      </c>
      <c r="E209" s="1" t="str">
        <f t="shared" ref="E209:E223" si="16">+"INSERT INTO schema_db." &amp; $B$206 &amp; " " &amp;$E$207&amp;" VALUES('"&amp;C209&amp;"',"&amp;D209&amp;");"</f>
        <v>INSERT INTO schema_db.course_commissions_students (id_course_commission,id_users) VALUES('1',8);</v>
      </c>
    </row>
    <row r="210" spans="2:5" x14ac:dyDescent="0.25">
      <c r="B210" s="3">
        <v>3</v>
      </c>
      <c r="C210" s="4">
        <v>2</v>
      </c>
      <c r="D210" s="4">
        <v>7</v>
      </c>
      <c r="E210" s="1" t="str">
        <f t="shared" si="16"/>
        <v>INSERT INTO schema_db.course_commissions_students (id_course_commission,id_users) VALUES('2',7);</v>
      </c>
    </row>
    <row r="211" spans="2:5" x14ac:dyDescent="0.25">
      <c r="B211" s="3">
        <v>4</v>
      </c>
      <c r="C211" s="4">
        <v>2</v>
      </c>
      <c r="D211" s="4">
        <v>8</v>
      </c>
      <c r="E211" s="1" t="str">
        <f t="shared" si="16"/>
        <v>INSERT INTO schema_db.course_commissions_students (id_course_commission,id_users) VALUES('2',8);</v>
      </c>
    </row>
    <row r="212" spans="2:5" x14ac:dyDescent="0.25">
      <c r="B212" s="3">
        <v>5</v>
      </c>
      <c r="C212" s="4">
        <v>3</v>
      </c>
      <c r="D212" s="4">
        <v>7</v>
      </c>
      <c r="E212" s="1" t="str">
        <f t="shared" si="16"/>
        <v>INSERT INTO schema_db.course_commissions_students (id_course_commission,id_users) VALUES('3',7);</v>
      </c>
    </row>
    <row r="213" spans="2:5" x14ac:dyDescent="0.25">
      <c r="B213" s="3">
        <v>6</v>
      </c>
      <c r="C213" s="4">
        <v>3</v>
      </c>
      <c r="D213" s="4">
        <v>8</v>
      </c>
      <c r="E213" s="1" t="str">
        <f t="shared" si="16"/>
        <v>INSERT INTO schema_db.course_commissions_students (id_course_commission,id_users) VALUES('3',8);</v>
      </c>
    </row>
    <row r="214" spans="2:5" x14ac:dyDescent="0.25">
      <c r="B214" s="3">
        <v>7</v>
      </c>
      <c r="C214" s="4">
        <v>4</v>
      </c>
      <c r="D214" s="4">
        <v>7</v>
      </c>
      <c r="E214" s="1" t="str">
        <f t="shared" si="16"/>
        <v>INSERT INTO schema_db.course_commissions_students (id_course_commission,id_users) VALUES('4',7);</v>
      </c>
    </row>
    <row r="215" spans="2:5" x14ac:dyDescent="0.25">
      <c r="B215" s="3">
        <v>8</v>
      </c>
      <c r="C215" s="4">
        <v>4</v>
      </c>
      <c r="D215" s="4">
        <v>8</v>
      </c>
      <c r="E215" s="1" t="str">
        <f t="shared" si="16"/>
        <v>INSERT INTO schema_db.course_commissions_students (id_course_commission,id_users) VALUES('4',8);</v>
      </c>
    </row>
    <row r="216" spans="2:5" x14ac:dyDescent="0.25">
      <c r="B216" s="3">
        <v>9</v>
      </c>
      <c r="C216" s="4">
        <v>5</v>
      </c>
      <c r="D216" s="4">
        <v>7</v>
      </c>
      <c r="E216" s="1" t="str">
        <f t="shared" si="16"/>
        <v>INSERT INTO schema_db.course_commissions_students (id_course_commission,id_users) VALUES('5',7);</v>
      </c>
    </row>
    <row r="217" spans="2:5" x14ac:dyDescent="0.25">
      <c r="B217" s="3">
        <v>10</v>
      </c>
      <c r="C217" s="4">
        <v>5</v>
      </c>
      <c r="D217" s="4">
        <v>8</v>
      </c>
      <c r="E217" s="1" t="str">
        <f t="shared" si="16"/>
        <v>INSERT INTO schema_db.course_commissions_students (id_course_commission,id_users) VALUES('5',8);</v>
      </c>
    </row>
    <row r="218" spans="2:5" x14ac:dyDescent="0.25">
      <c r="B218" s="3">
        <v>11</v>
      </c>
      <c r="C218" s="4">
        <v>6</v>
      </c>
      <c r="D218" s="4">
        <v>7</v>
      </c>
      <c r="E218" s="1" t="str">
        <f t="shared" si="16"/>
        <v>INSERT INTO schema_db.course_commissions_students (id_course_commission,id_users) VALUES('6',7);</v>
      </c>
    </row>
    <row r="219" spans="2:5" x14ac:dyDescent="0.25">
      <c r="B219" s="3">
        <v>12</v>
      </c>
      <c r="C219" s="4">
        <v>6</v>
      </c>
      <c r="D219" s="4">
        <v>8</v>
      </c>
      <c r="E219" s="1" t="str">
        <f t="shared" si="16"/>
        <v>INSERT INTO schema_db.course_commissions_students (id_course_commission,id_users) VALUES('6',8);</v>
      </c>
    </row>
    <row r="220" spans="2:5" x14ac:dyDescent="0.25">
      <c r="B220" s="3">
        <v>13</v>
      </c>
      <c r="C220" s="4">
        <v>7</v>
      </c>
      <c r="D220" s="4">
        <v>7</v>
      </c>
      <c r="E220" s="1" t="str">
        <f t="shared" si="16"/>
        <v>INSERT INTO schema_db.course_commissions_students (id_course_commission,id_users) VALUES('7',7);</v>
      </c>
    </row>
    <row r="221" spans="2:5" x14ac:dyDescent="0.25">
      <c r="B221" s="3">
        <v>14</v>
      </c>
      <c r="C221" s="4">
        <v>7</v>
      </c>
      <c r="D221" s="4">
        <v>8</v>
      </c>
      <c r="E221" s="1" t="str">
        <f t="shared" si="16"/>
        <v>INSERT INTO schema_db.course_commissions_students (id_course_commission,id_users) VALUES('7',8);</v>
      </c>
    </row>
    <row r="222" spans="2:5" x14ac:dyDescent="0.25">
      <c r="B222" s="3">
        <v>15</v>
      </c>
      <c r="C222" s="4">
        <v>8</v>
      </c>
      <c r="D222" s="4">
        <v>7</v>
      </c>
      <c r="E222" s="1" t="str">
        <f t="shared" si="16"/>
        <v>INSERT INTO schema_db.course_commissions_students (id_course_commission,id_users) VALUES('8',7);</v>
      </c>
    </row>
    <row r="223" spans="2:5" x14ac:dyDescent="0.25">
      <c r="B223" s="3">
        <v>16</v>
      </c>
      <c r="C223" s="4">
        <v>8</v>
      </c>
      <c r="D223" s="4">
        <v>8</v>
      </c>
      <c r="E223" s="1" t="str">
        <f t="shared" si="16"/>
        <v>INSERT INTO schema_db.course_commissions_students (id_course_commission,id_users) VALUES('8',8);</v>
      </c>
    </row>
    <row r="225" spans="2:9" x14ac:dyDescent="0.25">
      <c r="B225" s="1" t="s">
        <v>92</v>
      </c>
    </row>
    <row r="226" spans="2:9" x14ac:dyDescent="0.25">
      <c r="B226" s="2" t="s">
        <v>0</v>
      </c>
      <c r="C226" s="2" t="s">
        <v>93</v>
      </c>
      <c r="D226" s="2" t="s">
        <v>115</v>
      </c>
      <c r="E226" s="2" t="s">
        <v>58</v>
      </c>
      <c r="F226" s="2" t="s">
        <v>94</v>
      </c>
      <c r="G226" s="1" t="str">
        <f>+"("&amp;C226&amp;","&amp;D226&amp;","&amp;E226&amp;","&amp;F226&amp;")"</f>
        <v>(exercise_name,exercise_description,id_simulators,enabled)</v>
      </c>
    </row>
    <row r="227" spans="2:9" x14ac:dyDescent="0.25">
      <c r="B227" s="3">
        <v>1</v>
      </c>
      <c r="C227" s="4" t="s">
        <v>365</v>
      </c>
      <c r="D227" s="4" t="str">
        <f>+"description "&amp;C227</f>
        <v>description exercise_z</v>
      </c>
      <c r="E227" s="4">
        <v>1</v>
      </c>
      <c r="F227" s="4">
        <v>1</v>
      </c>
      <c r="G227" s="1" t="str">
        <f>+"INSERT INTO schema_db." &amp; $B$225 &amp; " " &amp;$G$226&amp;" VALUES('"&amp;C227&amp;"','"&amp;D227&amp;"',"&amp;E227&amp;","&amp;F227&amp;");"</f>
        <v>INSERT INTO schema_db.exercises (exercise_name,exercise_description,id_simulators,enabled) VALUES('exercise_z','description exercise_z',1,1);</v>
      </c>
    </row>
    <row r="228" spans="2:9" x14ac:dyDescent="0.25">
      <c r="B228" s="3">
        <v>2</v>
      </c>
      <c r="C228" s="4" t="s">
        <v>366</v>
      </c>
      <c r="D228" s="4" t="str">
        <f t="shared" ref="D228:D229" si="17">+"description "&amp;C228</f>
        <v>description exercise_b</v>
      </c>
      <c r="E228" s="4">
        <v>1</v>
      </c>
      <c r="F228" s="4">
        <v>1</v>
      </c>
      <c r="G228" s="1" t="str">
        <f t="shared" ref="G228:G231" si="18">+"INSERT INTO schema_db." &amp; $B$225 &amp; " " &amp;$G$226&amp;" VALUES('"&amp;C228&amp;"','"&amp;D228&amp;"',"&amp;E228&amp;","&amp;F228&amp;");"</f>
        <v>INSERT INTO schema_db.exercises (exercise_name,exercise_description,id_simulators,enabled) VALUES('exercise_b','description exercise_b',1,1);</v>
      </c>
    </row>
    <row r="229" spans="2:9" x14ac:dyDescent="0.25">
      <c r="B229" s="3">
        <v>3</v>
      </c>
      <c r="C229" s="4" t="s">
        <v>367</v>
      </c>
      <c r="D229" s="4" t="str">
        <f t="shared" si="17"/>
        <v>description exercise_a</v>
      </c>
      <c r="E229" s="4">
        <v>1</v>
      </c>
      <c r="F229" s="4">
        <v>1</v>
      </c>
      <c r="G229" s="1" t="str">
        <f t="shared" si="18"/>
        <v>INSERT INTO schema_db.exercises (exercise_name,exercise_description,id_simulators,enabled) VALUES('exercise_a','description exercise_a',1,1);</v>
      </c>
    </row>
    <row r="230" spans="2:9" x14ac:dyDescent="0.25">
      <c r="B230" s="3">
        <v>4</v>
      </c>
      <c r="C230" s="4" t="s">
        <v>368</v>
      </c>
      <c r="D230" s="4" t="str">
        <f t="shared" ref="D230:D231" si="19">+"description "&amp;C230</f>
        <v>description exercise_y</v>
      </c>
      <c r="E230" s="4">
        <v>2</v>
      </c>
      <c r="F230" s="4">
        <v>1</v>
      </c>
      <c r="G230" s="1" t="str">
        <f t="shared" si="18"/>
        <v>INSERT INTO schema_db.exercises (exercise_name,exercise_description,id_simulators,enabled) VALUES('exercise_y','description exercise_y',2,1);</v>
      </c>
    </row>
    <row r="231" spans="2:9" x14ac:dyDescent="0.25">
      <c r="B231" s="3">
        <v>5</v>
      </c>
      <c r="C231" s="4" t="s">
        <v>366</v>
      </c>
      <c r="D231" s="4" t="str">
        <f t="shared" si="19"/>
        <v>description exercise_b</v>
      </c>
      <c r="E231" s="4">
        <v>2</v>
      </c>
      <c r="F231" s="4">
        <v>1</v>
      </c>
      <c r="G231" s="1" t="str">
        <f t="shared" si="18"/>
        <v>INSERT INTO schema_db.exercises (exercise_name,exercise_description,id_simulators,enabled) VALUES('exercise_b','description exercise_b',2,1);</v>
      </c>
    </row>
    <row r="233" spans="2:9" x14ac:dyDescent="0.25">
      <c r="B233" s="1" t="s">
        <v>98</v>
      </c>
    </row>
    <row r="234" spans="2:9" x14ac:dyDescent="0.25">
      <c r="B234" s="2" t="s">
        <v>0</v>
      </c>
      <c r="C234" s="2" t="s">
        <v>113</v>
      </c>
      <c r="D234" s="2" t="s">
        <v>61</v>
      </c>
      <c r="E234" s="2" t="s">
        <v>58</v>
      </c>
      <c r="F234" s="2" t="s">
        <v>106</v>
      </c>
      <c r="G234" s="2" t="s">
        <v>107</v>
      </c>
      <c r="H234" s="2" t="s">
        <v>108</v>
      </c>
      <c r="I234" s="1" t="str">
        <f>+"("&amp;C234&amp;","&amp;D234&amp;","&amp;E234&amp;","&amp;F234&amp;","&amp;G234&amp;","&amp;H234&amp;")"</f>
        <v>(id_exercises,id_users,id_simulators,date,grade,duration_secs)</v>
      </c>
    </row>
    <row r="235" spans="2:9" x14ac:dyDescent="0.25">
      <c r="B235" s="3"/>
      <c r="C235" s="3">
        <v>1</v>
      </c>
      <c r="D235" s="3">
        <v>4</v>
      </c>
      <c r="E235" s="3">
        <v>1</v>
      </c>
      <c r="F235" s="13">
        <v>1674150771500</v>
      </c>
      <c r="G235" s="3" t="s">
        <v>329</v>
      </c>
      <c r="H235" s="3">
        <v>100</v>
      </c>
      <c r="I235" s="1" t="str">
        <f>+"INSERT INTO schema_db." &amp; $B$233 &amp; " " &amp;$I$234&amp;" VALUES("&amp;C235&amp;","&amp;D235&amp;","&amp;E235&amp;","&amp;F235&amp;","&amp;G235&amp;","&amp;H235&amp;");"</f>
        <v>INSERT INTO schema_db.exercises_results (id_exercises,id_users,id_simulators,date,grade,duration_secs) VALUES(1,4,1,1674150771500,80.5,100);</v>
      </c>
    </row>
    <row r="236" spans="2:9" x14ac:dyDescent="0.25">
      <c r="B236" s="3"/>
      <c r="C236" s="3">
        <v>1</v>
      </c>
      <c r="D236" s="3">
        <v>5</v>
      </c>
      <c r="E236" s="3">
        <v>1</v>
      </c>
      <c r="F236" s="13">
        <f>+F235-1</f>
        <v>1674150771499</v>
      </c>
      <c r="G236" s="3" t="s">
        <v>330</v>
      </c>
      <c r="H236" s="3">
        <f>+H235+1</f>
        <v>101</v>
      </c>
      <c r="I236" s="1" t="str">
        <f t="shared" ref="I236:I264" si="20">+"INSERT INTO schema_db." &amp; $B$233 &amp; " " &amp;$I$234&amp;" VALUES("&amp;C236&amp;","&amp;D236&amp;","&amp;E236&amp;","&amp;F236&amp;","&amp;G236&amp;","&amp;H236&amp;");"</f>
        <v>INSERT INTO schema_db.exercises_results (id_exercises,id_users,id_simulators,date,grade,duration_secs) VALUES(1,5,1,1674150771499,81.5,101);</v>
      </c>
    </row>
    <row r="237" spans="2:9" x14ac:dyDescent="0.25">
      <c r="B237" s="3"/>
      <c r="C237" s="3">
        <v>1</v>
      </c>
      <c r="D237" s="3">
        <v>6</v>
      </c>
      <c r="E237" s="3">
        <v>1</v>
      </c>
      <c r="F237" s="13">
        <f t="shared" ref="F237:F264" si="21">+F236-1</f>
        <v>1674150771498</v>
      </c>
      <c r="G237" s="3" t="s">
        <v>331</v>
      </c>
      <c r="H237" s="3">
        <f t="shared" ref="H237:H249" si="22">+H236+1</f>
        <v>102</v>
      </c>
      <c r="I237" s="1" t="str">
        <f t="shared" si="20"/>
        <v>INSERT INTO schema_db.exercises_results (id_exercises,id_users,id_simulators,date,grade,duration_secs) VALUES(1,6,1,1674150771498,82.5,102);</v>
      </c>
    </row>
    <row r="238" spans="2:9" x14ac:dyDescent="0.25">
      <c r="B238" s="3"/>
      <c r="C238" s="3">
        <v>2</v>
      </c>
      <c r="D238" s="3">
        <v>4</v>
      </c>
      <c r="E238" s="3">
        <v>1</v>
      </c>
      <c r="F238" s="13">
        <f t="shared" si="21"/>
        <v>1674150771497</v>
      </c>
      <c r="G238" s="3" t="s">
        <v>332</v>
      </c>
      <c r="H238" s="3">
        <f t="shared" si="22"/>
        <v>103</v>
      </c>
      <c r="I238" s="1" t="str">
        <f t="shared" si="20"/>
        <v>INSERT INTO schema_db.exercises_results (id_exercises,id_users,id_simulators,date,grade,duration_secs) VALUES(2,4,1,1674150771497,83.5,103);</v>
      </c>
    </row>
    <row r="239" spans="2:9" x14ac:dyDescent="0.25">
      <c r="B239" s="3"/>
      <c r="C239" s="3">
        <v>2</v>
      </c>
      <c r="D239" s="3">
        <v>5</v>
      </c>
      <c r="E239" s="3">
        <v>1</v>
      </c>
      <c r="F239" s="13">
        <f t="shared" si="21"/>
        <v>1674150771496</v>
      </c>
      <c r="G239" s="3" t="s">
        <v>333</v>
      </c>
      <c r="H239" s="3">
        <f t="shared" si="22"/>
        <v>104</v>
      </c>
      <c r="I239" s="1" t="str">
        <f t="shared" si="20"/>
        <v>INSERT INTO schema_db.exercises_results (id_exercises,id_users,id_simulators,date,grade,duration_secs) VALUES(2,5,1,1674150771496,84.5,104);</v>
      </c>
    </row>
    <row r="240" spans="2:9" x14ac:dyDescent="0.25">
      <c r="B240" s="3"/>
      <c r="C240" s="3">
        <v>2</v>
      </c>
      <c r="D240" s="3">
        <v>6</v>
      </c>
      <c r="E240" s="3">
        <v>1</v>
      </c>
      <c r="F240" s="13">
        <f t="shared" si="21"/>
        <v>1674150771495</v>
      </c>
      <c r="G240" s="3" t="s">
        <v>334</v>
      </c>
      <c r="H240" s="3">
        <f t="shared" si="22"/>
        <v>105</v>
      </c>
      <c r="I240" s="1" t="str">
        <f t="shared" si="20"/>
        <v>INSERT INTO schema_db.exercises_results (id_exercises,id_users,id_simulators,date,grade,duration_secs) VALUES(2,6,1,1674150771495,85.5,105);</v>
      </c>
    </row>
    <row r="241" spans="2:9" x14ac:dyDescent="0.25">
      <c r="B241" s="3"/>
      <c r="C241" s="3">
        <v>3</v>
      </c>
      <c r="D241" s="3">
        <v>4</v>
      </c>
      <c r="E241" s="3">
        <v>1</v>
      </c>
      <c r="F241" s="13">
        <f t="shared" si="21"/>
        <v>1674150771494</v>
      </c>
      <c r="G241" s="3" t="s">
        <v>335</v>
      </c>
      <c r="H241" s="3">
        <f t="shared" si="22"/>
        <v>106</v>
      </c>
      <c r="I241" s="1" t="str">
        <f t="shared" si="20"/>
        <v>INSERT INTO schema_db.exercises_results (id_exercises,id_users,id_simulators,date,grade,duration_secs) VALUES(3,4,1,1674150771494,86.5,106);</v>
      </c>
    </row>
    <row r="242" spans="2:9" x14ac:dyDescent="0.25">
      <c r="B242" s="3"/>
      <c r="C242" s="3">
        <v>3</v>
      </c>
      <c r="D242" s="3">
        <v>5</v>
      </c>
      <c r="E242" s="3">
        <v>1</v>
      </c>
      <c r="F242" s="13">
        <f t="shared" si="21"/>
        <v>1674150771493</v>
      </c>
      <c r="G242" s="3" t="s">
        <v>336</v>
      </c>
      <c r="H242" s="3">
        <f t="shared" si="22"/>
        <v>107</v>
      </c>
      <c r="I242" s="1" t="str">
        <f t="shared" si="20"/>
        <v>INSERT INTO schema_db.exercises_results (id_exercises,id_users,id_simulators,date,grade,duration_secs) VALUES(3,5,1,1674150771493,87.5,107);</v>
      </c>
    </row>
    <row r="243" spans="2:9" x14ac:dyDescent="0.25">
      <c r="B243" s="3"/>
      <c r="C243" s="3">
        <v>3</v>
      </c>
      <c r="D243" s="3">
        <v>6</v>
      </c>
      <c r="E243" s="3">
        <v>1</v>
      </c>
      <c r="F243" s="13">
        <f t="shared" si="21"/>
        <v>1674150771492</v>
      </c>
      <c r="G243" s="3" t="s">
        <v>337</v>
      </c>
      <c r="H243" s="3">
        <f t="shared" si="22"/>
        <v>108</v>
      </c>
      <c r="I243" s="1" t="str">
        <f t="shared" si="20"/>
        <v>INSERT INTO schema_db.exercises_results (id_exercises,id_users,id_simulators,date,grade,duration_secs) VALUES(3,6,1,1674150771492,88.5,108);</v>
      </c>
    </row>
    <row r="244" spans="2:9" x14ac:dyDescent="0.25">
      <c r="B244" s="3"/>
      <c r="C244" s="3">
        <v>4</v>
      </c>
      <c r="D244" s="3">
        <v>4</v>
      </c>
      <c r="E244" s="3">
        <v>2</v>
      </c>
      <c r="F244" s="13">
        <f t="shared" si="21"/>
        <v>1674150771491</v>
      </c>
      <c r="G244" s="3" t="s">
        <v>338</v>
      </c>
      <c r="H244" s="3">
        <f t="shared" si="22"/>
        <v>109</v>
      </c>
      <c r="I244" s="1" t="str">
        <f t="shared" si="20"/>
        <v>INSERT INTO schema_db.exercises_results (id_exercises,id_users,id_simulators,date,grade,duration_secs) VALUES(4,4,2,1674150771491,89.5,109);</v>
      </c>
    </row>
    <row r="245" spans="2:9" x14ac:dyDescent="0.25">
      <c r="B245" s="3"/>
      <c r="C245" s="3">
        <v>4</v>
      </c>
      <c r="D245" s="3">
        <v>5</v>
      </c>
      <c r="E245" s="3">
        <v>2</v>
      </c>
      <c r="F245" s="13">
        <f t="shared" si="21"/>
        <v>1674150771490</v>
      </c>
      <c r="G245" s="3" t="s">
        <v>339</v>
      </c>
      <c r="H245" s="3">
        <f t="shared" si="22"/>
        <v>110</v>
      </c>
      <c r="I245" s="1" t="str">
        <f t="shared" si="20"/>
        <v>INSERT INTO schema_db.exercises_results (id_exercises,id_users,id_simulators,date,grade,duration_secs) VALUES(4,5,2,1674150771490,90.5,110);</v>
      </c>
    </row>
    <row r="246" spans="2:9" x14ac:dyDescent="0.25">
      <c r="B246" s="3"/>
      <c r="C246" s="3">
        <v>4</v>
      </c>
      <c r="D246" s="3">
        <v>6</v>
      </c>
      <c r="E246" s="3">
        <v>2</v>
      </c>
      <c r="F246" s="13">
        <f t="shared" si="21"/>
        <v>1674150771489</v>
      </c>
      <c r="G246" s="3" t="s">
        <v>340</v>
      </c>
      <c r="H246" s="3">
        <f t="shared" si="22"/>
        <v>111</v>
      </c>
      <c r="I246" s="1" t="str">
        <f t="shared" si="20"/>
        <v>INSERT INTO schema_db.exercises_results (id_exercises,id_users,id_simulators,date,grade,duration_secs) VALUES(4,6,2,1674150771489,91.5,111);</v>
      </c>
    </row>
    <row r="247" spans="2:9" x14ac:dyDescent="0.25">
      <c r="B247" s="3"/>
      <c r="C247" s="3">
        <v>5</v>
      </c>
      <c r="D247" s="3">
        <v>4</v>
      </c>
      <c r="E247" s="3">
        <v>2</v>
      </c>
      <c r="F247" s="13">
        <f t="shared" si="21"/>
        <v>1674150771488</v>
      </c>
      <c r="G247" s="3" t="s">
        <v>341</v>
      </c>
      <c r="H247" s="3">
        <f t="shared" si="22"/>
        <v>112</v>
      </c>
      <c r="I247" s="1" t="str">
        <f t="shared" si="20"/>
        <v>INSERT INTO schema_db.exercises_results (id_exercises,id_users,id_simulators,date,grade,duration_secs) VALUES(5,4,2,1674150771488,92.5,112);</v>
      </c>
    </row>
    <row r="248" spans="2:9" x14ac:dyDescent="0.25">
      <c r="B248" s="3"/>
      <c r="C248" s="3">
        <v>5</v>
      </c>
      <c r="D248" s="3">
        <v>5</v>
      </c>
      <c r="E248" s="3">
        <v>2</v>
      </c>
      <c r="F248" s="13">
        <f t="shared" si="21"/>
        <v>1674150771487</v>
      </c>
      <c r="G248" s="3" t="s">
        <v>342</v>
      </c>
      <c r="H248" s="3">
        <f t="shared" si="22"/>
        <v>113</v>
      </c>
      <c r="I248" s="1" t="str">
        <f t="shared" si="20"/>
        <v>INSERT INTO schema_db.exercises_results (id_exercises,id_users,id_simulators,date,grade,duration_secs) VALUES(5,5,2,1674150771487,93.5,113);</v>
      </c>
    </row>
    <row r="249" spans="2:9" x14ac:dyDescent="0.25">
      <c r="B249" s="3"/>
      <c r="C249" s="3">
        <v>5</v>
      </c>
      <c r="D249" s="3">
        <v>6</v>
      </c>
      <c r="E249" s="3">
        <v>2</v>
      </c>
      <c r="F249" s="13">
        <f t="shared" si="21"/>
        <v>1674150771486</v>
      </c>
      <c r="G249" s="3" t="s">
        <v>343</v>
      </c>
      <c r="H249" s="3">
        <f t="shared" si="22"/>
        <v>114</v>
      </c>
      <c r="I249" s="1" t="str">
        <f t="shared" si="20"/>
        <v>INSERT INTO schema_db.exercises_results (id_exercises,id_users,id_simulators,date,grade,duration_secs) VALUES(5,6,2,1674150771486,94.5,114);</v>
      </c>
    </row>
    <row r="250" spans="2:9" x14ac:dyDescent="0.25">
      <c r="B250" s="3"/>
      <c r="C250" s="3">
        <v>1</v>
      </c>
      <c r="D250" s="3">
        <v>4</v>
      </c>
      <c r="E250" s="3">
        <v>1</v>
      </c>
      <c r="F250" s="13">
        <f t="shared" si="21"/>
        <v>1674150771485</v>
      </c>
      <c r="G250" s="3" t="s">
        <v>344</v>
      </c>
      <c r="H250" s="3">
        <v>100</v>
      </c>
      <c r="I250" s="1" t="str">
        <f t="shared" si="20"/>
        <v>INSERT INTO schema_db.exercises_results (id_exercises,id_users,id_simulators,date,grade,duration_secs) VALUES(1,4,1,1674150771485,95.5,100);</v>
      </c>
    </row>
    <row r="251" spans="2:9" x14ac:dyDescent="0.25">
      <c r="B251" s="3"/>
      <c r="C251" s="3">
        <v>1</v>
      </c>
      <c r="D251" s="3">
        <v>5</v>
      </c>
      <c r="E251" s="3">
        <v>1</v>
      </c>
      <c r="F251" s="13">
        <f t="shared" si="21"/>
        <v>1674150771484</v>
      </c>
      <c r="G251" s="3" t="s">
        <v>345</v>
      </c>
      <c r="H251" s="3">
        <f>+H250+1</f>
        <v>101</v>
      </c>
      <c r="I251" s="1" t="str">
        <f t="shared" si="20"/>
        <v>INSERT INTO schema_db.exercises_results (id_exercises,id_users,id_simulators,date,grade,duration_secs) VALUES(1,5,1,1674150771484,96.5,101);</v>
      </c>
    </row>
    <row r="252" spans="2:9" x14ac:dyDescent="0.25">
      <c r="B252" s="3"/>
      <c r="C252" s="3">
        <v>1</v>
      </c>
      <c r="D252" s="3">
        <v>6</v>
      </c>
      <c r="E252" s="3">
        <v>1</v>
      </c>
      <c r="F252" s="13">
        <f t="shared" si="21"/>
        <v>1674150771483</v>
      </c>
      <c r="G252" s="3" t="s">
        <v>346</v>
      </c>
      <c r="H252" s="3">
        <f t="shared" ref="H252:H264" si="23">+H251+1</f>
        <v>102</v>
      </c>
      <c r="I252" s="1" t="str">
        <f t="shared" si="20"/>
        <v>INSERT INTO schema_db.exercises_results (id_exercises,id_users,id_simulators,date,grade,duration_secs) VALUES(1,6,1,1674150771483,97.5,102);</v>
      </c>
    </row>
    <row r="253" spans="2:9" x14ac:dyDescent="0.25">
      <c r="B253" s="3"/>
      <c r="C253" s="3">
        <v>2</v>
      </c>
      <c r="D253" s="3">
        <v>4</v>
      </c>
      <c r="E253" s="3">
        <v>1</v>
      </c>
      <c r="F253" s="13">
        <f t="shared" si="21"/>
        <v>1674150771482</v>
      </c>
      <c r="G253" s="3" t="s">
        <v>347</v>
      </c>
      <c r="H253" s="3">
        <f t="shared" si="23"/>
        <v>103</v>
      </c>
      <c r="I253" s="1" t="str">
        <f t="shared" si="20"/>
        <v>INSERT INTO schema_db.exercises_results (id_exercises,id_users,id_simulators,date,grade,duration_secs) VALUES(2,4,1,1674150771482,98.5,103);</v>
      </c>
    </row>
    <row r="254" spans="2:9" x14ac:dyDescent="0.25">
      <c r="B254" s="3"/>
      <c r="C254" s="3">
        <v>2</v>
      </c>
      <c r="D254" s="3">
        <v>5</v>
      </c>
      <c r="E254" s="3">
        <v>1</v>
      </c>
      <c r="F254" s="13">
        <f t="shared" si="21"/>
        <v>1674150771481</v>
      </c>
      <c r="G254" s="3" t="s">
        <v>348</v>
      </c>
      <c r="H254" s="3">
        <f t="shared" si="23"/>
        <v>104</v>
      </c>
      <c r="I254" s="1" t="str">
        <f t="shared" si="20"/>
        <v>INSERT INTO schema_db.exercises_results (id_exercises,id_users,id_simulators,date,grade,duration_secs) VALUES(2,5,1,1674150771481,99.5,104);</v>
      </c>
    </row>
    <row r="255" spans="2:9" x14ac:dyDescent="0.25">
      <c r="B255" s="3"/>
      <c r="C255" s="3">
        <v>2</v>
      </c>
      <c r="D255" s="3">
        <v>6</v>
      </c>
      <c r="E255" s="3">
        <v>1</v>
      </c>
      <c r="F255" s="13">
        <f t="shared" si="21"/>
        <v>1674150771480</v>
      </c>
      <c r="G255" s="3">
        <v>70</v>
      </c>
      <c r="H255" s="3">
        <f t="shared" si="23"/>
        <v>105</v>
      </c>
      <c r="I255" s="1" t="str">
        <f t="shared" si="20"/>
        <v>INSERT INTO schema_db.exercises_results (id_exercises,id_users,id_simulators,date,grade,duration_secs) VALUES(2,6,1,1674150771480,70,105);</v>
      </c>
    </row>
    <row r="256" spans="2:9" x14ac:dyDescent="0.25">
      <c r="B256" s="3"/>
      <c r="C256" s="3">
        <v>3</v>
      </c>
      <c r="D256" s="3">
        <v>4</v>
      </c>
      <c r="E256" s="3">
        <v>1</v>
      </c>
      <c r="F256" s="13">
        <f t="shared" si="21"/>
        <v>1674150771479</v>
      </c>
      <c r="G256" s="3">
        <v>71</v>
      </c>
      <c r="H256" s="3">
        <f t="shared" si="23"/>
        <v>106</v>
      </c>
      <c r="I256" s="1" t="str">
        <f t="shared" si="20"/>
        <v>INSERT INTO schema_db.exercises_results (id_exercises,id_users,id_simulators,date,grade,duration_secs) VALUES(3,4,1,1674150771479,71,106);</v>
      </c>
    </row>
    <row r="257" spans="1:11" x14ac:dyDescent="0.25">
      <c r="B257" s="3"/>
      <c r="C257" s="3">
        <v>3</v>
      </c>
      <c r="D257" s="3">
        <v>5</v>
      </c>
      <c r="E257" s="3">
        <v>1</v>
      </c>
      <c r="F257" s="13">
        <f t="shared" si="21"/>
        <v>1674150771478</v>
      </c>
      <c r="G257" s="3">
        <v>72</v>
      </c>
      <c r="H257" s="3">
        <f t="shared" si="23"/>
        <v>107</v>
      </c>
      <c r="I257" s="1" t="str">
        <f t="shared" si="20"/>
        <v>INSERT INTO schema_db.exercises_results (id_exercises,id_users,id_simulators,date,grade,duration_secs) VALUES(3,5,1,1674150771478,72,107);</v>
      </c>
    </row>
    <row r="258" spans="1:11" x14ac:dyDescent="0.25">
      <c r="B258" s="3"/>
      <c r="C258" s="3">
        <v>3</v>
      </c>
      <c r="D258" s="3">
        <v>6</v>
      </c>
      <c r="E258" s="3">
        <v>1</v>
      </c>
      <c r="F258" s="13">
        <f t="shared" si="21"/>
        <v>1674150771477</v>
      </c>
      <c r="G258" s="3">
        <v>73</v>
      </c>
      <c r="H258" s="3">
        <f t="shared" si="23"/>
        <v>108</v>
      </c>
      <c r="I258" s="1" t="str">
        <f t="shared" si="20"/>
        <v>INSERT INTO schema_db.exercises_results (id_exercises,id_users,id_simulators,date,grade,duration_secs) VALUES(3,6,1,1674150771477,73,108);</v>
      </c>
    </row>
    <row r="259" spans="1:11" x14ac:dyDescent="0.25">
      <c r="B259" s="3"/>
      <c r="C259" s="3">
        <v>4</v>
      </c>
      <c r="D259" s="3">
        <v>4</v>
      </c>
      <c r="E259" s="3">
        <v>2</v>
      </c>
      <c r="F259" s="13">
        <f t="shared" si="21"/>
        <v>1674150771476</v>
      </c>
      <c r="G259" s="3">
        <v>74</v>
      </c>
      <c r="H259" s="3">
        <f t="shared" si="23"/>
        <v>109</v>
      </c>
      <c r="I259" s="1" t="str">
        <f t="shared" si="20"/>
        <v>INSERT INTO schema_db.exercises_results (id_exercises,id_users,id_simulators,date,grade,duration_secs) VALUES(4,4,2,1674150771476,74,109);</v>
      </c>
    </row>
    <row r="260" spans="1:11" x14ac:dyDescent="0.25">
      <c r="B260" s="3"/>
      <c r="C260" s="3">
        <v>4</v>
      </c>
      <c r="D260" s="3">
        <v>5</v>
      </c>
      <c r="E260" s="3">
        <v>2</v>
      </c>
      <c r="F260" s="13">
        <f t="shared" si="21"/>
        <v>1674150771475</v>
      </c>
      <c r="G260" s="3">
        <v>75</v>
      </c>
      <c r="H260" s="3">
        <f t="shared" si="23"/>
        <v>110</v>
      </c>
      <c r="I260" s="1" t="str">
        <f t="shared" si="20"/>
        <v>INSERT INTO schema_db.exercises_results (id_exercises,id_users,id_simulators,date,grade,duration_secs) VALUES(4,5,2,1674150771475,75,110);</v>
      </c>
    </row>
    <row r="261" spans="1:11" x14ac:dyDescent="0.25">
      <c r="B261" s="3"/>
      <c r="C261" s="3">
        <v>4</v>
      </c>
      <c r="D261" s="3">
        <v>6</v>
      </c>
      <c r="E261" s="3">
        <v>2</v>
      </c>
      <c r="F261" s="13">
        <f t="shared" si="21"/>
        <v>1674150771474</v>
      </c>
      <c r="G261" s="3">
        <v>76</v>
      </c>
      <c r="H261" s="3">
        <f t="shared" si="23"/>
        <v>111</v>
      </c>
      <c r="I261" s="1" t="str">
        <f t="shared" si="20"/>
        <v>INSERT INTO schema_db.exercises_results (id_exercises,id_users,id_simulators,date,grade,duration_secs) VALUES(4,6,2,1674150771474,76,111);</v>
      </c>
    </row>
    <row r="262" spans="1:11" x14ac:dyDescent="0.25">
      <c r="B262" s="3"/>
      <c r="C262" s="3">
        <v>5</v>
      </c>
      <c r="D262" s="3">
        <v>4</v>
      </c>
      <c r="E262" s="3">
        <v>2</v>
      </c>
      <c r="F262" s="13">
        <f t="shared" si="21"/>
        <v>1674150771473</v>
      </c>
      <c r="G262" s="3">
        <v>77</v>
      </c>
      <c r="H262" s="3">
        <f t="shared" si="23"/>
        <v>112</v>
      </c>
      <c r="I262" s="1" t="str">
        <f t="shared" si="20"/>
        <v>INSERT INTO schema_db.exercises_results (id_exercises,id_users,id_simulators,date,grade,duration_secs) VALUES(5,4,2,1674150771473,77,112);</v>
      </c>
    </row>
    <row r="263" spans="1:11" x14ac:dyDescent="0.25">
      <c r="B263" s="3"/>
      <c r="C263" s="3">
        <v>5</v>
      </c>
      <c r="D263" s="3">
        <v>5</v>
      </c>
      <c r="E263" s="3">
        <v>2</v>
      </c>
      <c r="F263" s="13">
        <f t="shared" si="21"/>
        <v>1674150771472</v>
      </c>
      <c r="G263" s="3">
        <v>78</v>
      </c>
      <c r="H263" s="3">
        <f t="shared" si="23"/>
        <v>113</v>
      </c>
      <c r="I263" s="1" t="str">
        <f t="shared" si="20"/>
        <v>INSERT INTO schema_db.exercises_results (id_exercises,id_users,id_simulators,date,grade,duration_secs) VALUES(5,5,2,1674150771472,78,113);</v>
      </c>
    </row>
    <row r="264" spans="1:11" x14ac:dyDescent="0.25">
      <c r="B264" s="3"/>
      <c r="C264" s="3">
        <v>5</v>
      </c>
      <c r="D264" s="3">
        <v>6</v>
      </c>
      <c r="E264" s="3">
        <v>2</v>
      </c>
      <c r="F264" s="13">
        <f t="shared" si="21"/>
        <v>1674150771471</v>
      </c>
      <c r="G264" s="3">
        <v>79</v>
      </c>
      <c r="H264" s="3">
        <f t="shared" si="23"/>
        <v>114</v>
      </c>
      <c r="I264" s="1" t="str">
        <f t="shared" si="20"/>
        <v>INSERT INTO schema_db.exercises_results (id_exercises,id_users,id_simulators,date,grade,duration_secs) VALUES(5,6,2,1674150771471,79,114);</v>
      </c>
    </row>
    <row r="266" spans="1:11" x14ac:dyDescent="0.25">
      <c r="B266" s="1" t="s">
        <v>109</v>
      </c>
    </row>
    <row r="267" spans="1:11" x14ac:dyDescent="0.25">
      <c r="B267" s="2" t="s">
        <v>0</v>
      </c>
      <c r="C267" s="2" t="s">
        <v>114</v>
      </c>
      <c r="D267" s="2" t="s">
        <v>113</v>
      </c>
      <c r="E267" s="2" t="s">
        <v>61</v>
      </c>
      <c r="F267" s="2" t="s">
        <v>58</v>
      </c>
      <c r="G267" s="2" t="s">
        <v>101</v>
      </c>
      <c r="H267" s="2" t="s">
        <v>110</v>
      </c>
      <c r="I267" s="2" t="s">
        <v>111</v>
      </c>
      <c r="J267" s="2" t="s">
        <v>112</v>
      </c>
      <c r="K267" s="1" t="str">
        <f>+"("&amp;C267&amp;","&amp;D267&amp;","&amp;E267&amp;","&amp;F267&amp;","&amp;G267&amp;","&amp;H267&amp;","&amp;I267&amp;","&amp;J267&amp;")"</f>
        <v>(id_exercises_results,id_exercises,id_users,id_simulators,description,log_time,type,observations)</v>
      </c>
    </row>
    <row r="268" spans="1:11" x14ac:dyDescent="0.25">
      <c r="A268" s="1">
        <f>+E268+3</f>
        <v>7</v>
      </c>
      <c r="B268" s="3"/>
      <c r="C268" s="3">
        <v>1</v>
      </c>
      <c r="D268" s="3">
        <v>1</v>
      </c>
      <c r="E268" s="3">
        <v>4</v>
      </c>
      <c r="F268" s="3">
        <v>1</v>
      </c>
      <c r="G268" s="3" t="s">
        <v>349</v>
      </c>
      <c r="H268" s="13">
        <v>10</v>
      </c>
      <c r="I268" s="13" t="s">
        <v>325</v>
      </c>
      <c r="J268" s="3"/>
      <c r="K268" s="1" t="str">
        <f>+"INSERT INTO schema_db." &amp; $B$266 &amp; " " &amp;$K$267&amp;" VALUES("&amp;C268&amp;","&amp;D268&amp;","&amp;E268&amp;","&amp;F268&amp;",'"&amp;G268&amp;"',"&amp;H268&amp;",'"&amp;I268&amp;"','"&amp;J268&amp;"');"</f>
        <v>INSERT INTO schema_db.exercises_answers (id_exercises_results,id_exercises,id_users,id_simulators,description,log_time,type,observations) VALUES(1,1,4,1,'1d_paso1d',10,'Paso realizado correctamente','');</v>
      </c>
    </row>
    <row r="269" spans="1:11" x14ac:dyDescent="0.25">
      <c r="A269" s="1">
        <f t="shared" ref="A269:A332" si="24">+E269+3</f>
        <v>7</v>
      </c>
      <c r="B269" s="5"/>
      <c r="C269" s="3">
        <v>1</v>
      </c>
      <c r="D269" s="3">
        <v>1</v>
      </c>
      <c r="E269" s="3">
        <v>4</v>
      </c>
      <c r="F269" s="3">
        <v>1</v>
      </c>
      <c r="G269" s="3" t="s">
        <v>350</v>
      </c>
      <c r="H269" s="13">
        <v>11</v>
      </c>
      <c r="I269" s="13" t="s">
        <v>116</v>
      </c>
      <c r="J269" s="5" t="s">
        <v>326</v>
      </c>
      <c r="K269" s="1" t="str">
        <f t="shared" ref="K269:K332" si="25">+"INSERT INTO schema_db." &amp; $B$266 &amp; " " &amp;$K$267&amp;" VALUES("&amp;C269&amp;","&amp;D269&amp;","&amp;E269&amp;","&amp;F269&amp;",'"&amp;G269&amp;"',"&amp;H269&amp;",'"&amp;I269&amp;"','"&amp;J269&amp;"');"</f>
        <v>INSERT INTO schema_db.exercises_answers (id_exercises_results,id_exercises,id_users,id_simulators,description,log_time,type,observations) VALUES(1,1,4,1,'1a_paso1a',11,'Error','\nFaltó seleccionar:\nContraste, Jeringa, Algodon, Adhesivo, Descartador, Llave de 3 vías, Solucion, Difenhidramina, Guía\n\nSe requería el cateter de 22G');</v>
      </c>
    </row>
    <row r="270" spans="1:11" x14ac:dyDescent="0.25">
      <c r="A270" s="1">
        <f t="shared" si="24"/>
        <v>7</v>
      </c>
      <c r="B270" s="5"/>
      <c r="C270" s="3">
        <v>1</v>
      </c>
      <c r="D270" s="3">
        <v>1</v>
      </c>
      <c r="E270" s="3">
        <v>4</v>
      </c>
      <c r="F270" s="3">
        <v>1</v>
      </c>
      <c r="G270" s="3" t="s">
        <v>351</v>
      </c>
      <c r="H270" s="13">
        <v>12</v>
      </c>
      <c r="I270" s="13" t="s">
        <v>325</v>
      </c>
      <c r="J270" s="5"/>
      <c r="K270" s="1" t="str">
        <f t="shared" si="25"/>
        <v>INSERT INTO schema_db.exercises_answers (id_exercises_results,id_exercises,id_users,id_simulators,description,log_time,type,observations) VALUES(1,1,4,1,'1c_paso1c',12,'Paso realizado correctamente','');</v>
      </c>
    </row>
    <row r="271" spans="1:11" x14ac:dyDescent="0.25">
      <c r="A271" s="1">
        <f t="shared" si="24"/>
        <v>8</v>
      </c>
      <c r="B271" s="5"/>
      <c r="C271" s="3">
        <v>2</v>
      </c>
      <c r="D271" s="3">
        <v>1</v>
      </c>
      <c r="E271" s="3">
        <v>5</v>
      </c>
      <c r="F271" s="3">
        <v>1</v>
      </c>
      <c r="G271" s="3" t="s">
        <v>349</v>
      </c>
      <c r="H271" s="13">
        <v>13</v>
      </c>
      <c r="I271" s="13" t="s">
        <v>325</v>
      </c>
      <c r="J271" s="5"/>
      <c r="K271" s="1" t="str">
        <f t="shared" si="25"/>
        <v>INSERT INTO schema_db.exercises_answers (id_exercises_results,id_exercises,id_users,id_simulators,description,log_time,type,observations) VALUES(2,1,5,1,'1d_paso1d',13,'Paso realizado correctamente','');</v>
      </c>
    </row>
    <row r="272" spans="1:11" x14ac:dyDescent="0.25">
      <c r="A272" s="1">
        <f t="shared" si="24"/>
        <v>8</v>
      </c>
      <c r="B272" s="5"/>
      <c r="C272" s="3">
        <v>2</v>
      </c>
      <c r="D272" s="3">
        <v>1</v>
      </c>
      <c r="E272" s="3">
        <v>5</v>
      </c>
      <c r="F272" s="3">
        <v>1</v>
      </c>
      <c r="G272" s="3" t="s">
        <v>350</v>
      </c>
      <c r="H272" s="13">
        <v>14</v>
      </c>
      <c r="I272" s="13" t="s">
        <v>325</v>
      </c>
      <c r="J272" s="5"/>
      <c r="K272" s="1" t="str">
        <f t="shared" si="25"/>
        <v>INSERT INTO schema_db.exercises_answers (id_exercises_results,id_exercises,id_users,id_simulators,description,log_time,type,observations) VALUES(2,1,5,1,'1a_paso1a',14,'Paso realizado correctamente','');</v>
      </c>
    </row>
    <row r="273" spans="1:11" x14ac:dyDescent="0.25">
      <c r="A273" s="1">
        <f t="shared" si="24"/>
        <v>8</v>
      </c>
      <c r="B273" s="5"/>
      <c r="C273" s="3">
        <v>2</v>
      </c>
      <c r="D273" s="3">
        <v>1</v>
      </c>
      <c r="E273" s="3">
        <v>5</v>
      </c>
      <c r="F273" s="3">
        <v>1</v>
      </c>
      <c r="G273" s="3" t="s">
        <v>351</v>
      </c>
      <c r="H273" s="13">
        <v>15</v>
      </c>
      <c r="I273" s="13" t="s">
        <v>116</v>
      </c>
      <c r="J273" s="5" t="s">
        <v>327</v>
      </c>
      <c r="K273" s="1" t="str">
        <f t="shared" si="25"/>
        <v>INSERT INTO schema_db.exercises_answers (id_exercises_results,id_exercises,id_users,id_simulators,description,log_time,type,observations) VALUES(2,1,5,1,'1c_paso1c',15,'Error','Es necesario examinar la bomba en estudios con contraste');</v>
      </c>
    </row>
    <row r="274" spans="1:11" x14ac:dyDescent="0.25">
      <c r="A274" s="1">
        <f t="shared" si="24"/>
        <v>9</v>
      </c>
      <c r="B274" s="5"/>
      <c r="C274" s="3">
        <v>3</v>
      </c>
      <c r="D274" s="3">
        <v>1</v>
      </c>
      <c r="E274" s="3">
        <v>6</v>
      </c>
      <c r="F274" s="3">
        <v>1</v>
      </c>
      <c r="G274" s="3" t="s">
        <v>349</v>
      </c>
      <c r="H274" s="13">
        <v>16</v>
      </c>
      <c r="I274" s="13" t="s">
        <v>325</v>
      </c>
      <c r="J274" s="5"/>
      <c r="K274" s="1" t="str">
        <f t="shared" si="25"/>
        <v>INSERT INTO schema_db.exercises_answers (id_exercises_results,id_exercises,id_users,id_simulators,description,log_time,type,observations) VALUES(3,1,6,1,'1d_paso1d',16,'Paso realizado correctamente','');</v>
      </c>
    </row>
    <row r="275" spans="1:11" x14ac:dyDescent="0.25">
      <c r="A275" s="1">
        <f t="shared" si="24"/>
        <v>9</v>
      </c>
      <c r="B275" s="5"/>
      <c r="C275" s="3">
        <v>3</v>
      </c>
      <c r="D275" s="3">
        <v>1</v>
      </c>
      <c r="E275" s="3">
        <v>6</v>
      </c>
      <c r="F275" s="3">
        <v>1</v>
      </c>
      <c r="G275" s="3" t="s">
        <v>350</v>
      </c>
      <c r="H275" s="13">
        <v>17</v>
      </c>
      <c r="I275" s="3" t="s">
        <v>116</v>
      </c>
      <c r="J275" s="5" t="s">
        <v>328</v>
      </c>
      <c r="K275" s="1" t="str">
        <f t="shared" si="25"/>
        <v>INSERT INTO schema_db.exercises_answers (id_exercises_results,id_exercises,id_users,id_simulators,description,log_time,type,observations) VALUES(3,1,6,1,'1a_paso1a',17,'Error','Preguntas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76" spans="1:11" x14ac:dyDescent="0.25">
      <c r="A276" s="1">
        <f t="shared" si="24"/>
        <v>9</v>
      </c>
      <c r="B276" s="5"/>
      <c r="C276" s="3">
        <v>3</v>
      </c>
      <c r="D276" s="3">
        <v>1</v>
      </c>
      <c r="E276" s="3">
        <v>6</v>
      </c>
      <c r="F276" s="3">
        <v>1</v>
      </c>
      <c r="G276" s="3" t="s">
        <v>351</v>
      </c>
      <c r="H276" s="13">
        <v>18</v>
      </c>
      <c r="I276" s="3" t="s">
        <v>116</v>
      </c>
      <c r="J276" s="5" t="s">
        <v>326</v>
      </c>
      <c r="K276" s="1" t="str">
        <f t="shared" si="25"/>
        <v>INSERT INTO schema_db.exercises_answers (id_exercises_results,id_exercises,id_users,id_simulators,description,log_time,type,observations) VALUES(3,1,6,1,'1c_paso1c',18,'Error','\nFaltó seleccionar:\nContraste, Jeringa, Algodon, Adhesivo, Descartador, Llave de 3 vías, Solucion, Difenhidramina, Guía\n\nSe requería el cateter de 22G');</v>
      </c>
    </row>
    <row r="277" spans="1:11" x14ac:dyDescent="0.25">
      <c r="A277" s="1">
        <f t="shared" si="24"/>
        <v>7</v>
      </c>
      <c r="B277" s="5"/>
      <c r="C277" s="3">
        <v>16</v>
      </c>
      <c r="D277" s="3">
        <v>1</v>
      </c>
      <c r="E277" s="3">
        <v>4</v>
      </c>
      <c r="F277" s="3">
        <v>1</v>
      </c>
      <c r="G277" s="3" t="s">
        <v>349</v>
      </c>
      <c r="H277" s="13">
        <v>19</v>
      </c>
      <c r="I277" s="13" t="s">
        <v>325</v>
      </c>
      <c r="J277" s="5"/>
      <c r="K277" s="1" t="str">
        <f t="shared" si="25"/>
        <v>INSERT INTO schema_db.exercises_answers (id_exercises_results,id_exercises,id_users,id_simulators,description,log_time,type,observations) VALUES(16,1,4,1,'1d_paso1d',19,'Paso realizado correctamente','');</v>
      </c>
    </row>
    <row r="278" spans="1:11" x14ac:dyDescent="0.25">
      <c r="A278" s="1">
        <f t="shared" si="24"/>
        <v>7</v>
      </c>
      <c r="B278" s="5"/>
      <c r="C278" s="3">
        <v>16</v>
      </c>
      <c r="D278" s="3">
        <v>1</v>
      </c>
      <c r="E278" s="3">
        <v>4</v>
      </c>
      <c r="F278" s="3">
        <v>1</v>
      </c>
      <c r="G278" s="3" t="s">
        <v>350</v>
      </c>
      <c r="H278" s="13">
        <v>20</v>
      </c>
      <c r="I278" s="13" t="s">
        <v>116</v>
      </c>
      <c r="J278" s="5" t="s">
        <v>327</v>
      </c>
      <c r="K278" s="1" t="str">
        <f t="shared" si="25"/>
        <v>INSERT INTO schema_db.exercises_answers (id_exercises_results,id_exercises,id_users,id_simulators,description,log_time,type,observations) VALUES(16,1,4,1,'1a_paso1a',20,'Error','Es necesario examinar la bomba en estudios con contraste');</v>
      </c>
    </row>
    <row r="279" spans="1:11" x14ac:dyDescent="0.25">
      <c r="A279" s="1">
        <f t="shared" si="24"/>
        <v>7</v>
      </c>
      <c r="B279" s="5"/>
      <c r="C279" s="3">
        <v>16</v>
      </c>
      <c r="D279" s="3">
        <v>1</v>
      </c>
      <c r="E279" s="3">
        <v>4</v>
      </c>
      <c r="F279" s="3">
        <v>1</v>
      </c>
      <c r="G279" s="3" t="s">
        <v>351</v>
      </c>
      <c r="H279" s="13">
        <v>21</v>
      </c>
      <c r="I279" s="13" t="s">
        <v>325</v>
      </c>
      <c r="J279" s="5"/>
      <c r="K279" s="1" t="str">
        <f t="shared" si="25"/>
        <v>INSERT INTO schema_db.exercises_answers (id_exercises_results,id_exercises,id_users,id_simulators,description,log_time,type,observations) VALUES(16,1,4,1,'1c_paso1c',21,'Paso realizado correctamente','');</v>
      </c>
    </row>
    <row r="280" spans="1:11" x14ac:dyDescent="0.25">
      <c r="A280" s="1">
        <f t="shared" si="24"/>
        <v>8</v>
      </c>
      <c r="B280" s="5"/>
      <c r="C280" s="3">
        <v>17</v>
      </c>
      <c r="D280" s="3">
        <v>1</v>
      </c>
      <c r="E280" s="3">
        <v>5</v>
      </c>
      <c r="F280" s="3">
        <v>1</v>
      </c>
      <c r="G280" s="3" t="s">
        <v>349</v>
      </c>
      <c r="H280" s="13">
        <v>22</v>
      </c>
      <c r="I280" s="13" t="s">
        <v>325</v>
      </c>
      <c r="J280" s="5"/>
      <c r="K280" s="1" t="str">
        <f t="shared" si="25"/>
        <v>INSERT INTO schema_db.exercises_answers (id_exercises_results,id_exercises,id_users,id_simulators,description,log_time,type,observations) VALUES(17,1,5,1,'1d_paso1d',22,'Paso realizado correctamente','');</v>
      </c>
    </row>
    <row r="281" spans="1:11" x14ac:dyDescent="0.25">
      <c r="A281" s="1">
        <f t="shared" si="24"/>
        <v>8</v>
      </c>
      <c r="B281" s="5"/>
      <c r="C281" s="3">
        <v>17</v>
      </c>
      <c r="D281" s="3">
        <v>1</v>
      </c>
      <c r="E281" s="3">
        <v>5</v>
      </c>
      <c r="F281" s="3">
        <v>1</v>
      </c>
      <c r="G281" s="3" t="s">
        <v>350</v>
      </c>
      <c r="H281" s="13">
        <v>23</v>
      </c>
      <c r="I281" s="13" t="s">
        <v>325</v>
      </c>
      <c r="J281" s="5"/>
      <c r="K281" s="1" t="str">
        <f t="shared" si="25"/>
        <v>INSERT INTO schema_db.exercises_answers (id_exercises_results,id_exercises,id_users,id_simulators,description,log_time,type,observations) VALUES(17,1,5,1,'1a_paso1a',23,'Paso realizado correctamente','');</v>
      </c>
    </row>
    <row r="282" spans="1:11" x14ac:dyDescent="0.25">
      <c r="A282" s="1">
        <f t="shared" si="24"/>
        <v>8</v>
      </c>
      <c r="B282" s="5"/>
      <c r="C282" s="3">
        <v>17</v>
      </c>
      <c r="D282" s="3">
        <v>1</v>
      </c>
      <c r="E282" s="3">
        <v>5</v>
      </c>
      <c r="F282" s="3">
        <v>1</v>
      </c>
      <c r="G282" s="3" t="s">
        <v>351</v>
      </c>
      <c r="H282" s="13">
        <v>24</v>
      </c>
      <c r="I282" s="13" t="s">
        <v>116</v>
      </c>
      <c r="J282" s="5" t="s">
        <v>326</v>
      </c>
      <c r="K282" s="1" t="str">
        <f t="shared" si="25"/>
        <v>INSERT INTO schema_db.exercises_answers (id_exercises_results,id_exercises,id_users,id_simulators,description,log_time,type,observations) VALUES(17,1,5,1,'1c_paso1c',24,'Error','\nFaltó seleccionar:\nContraste, Jeringa, Algodon, Adhesivo, Descartador, Llave de 3 vías, Solucion, Difenhidramina, Guía\n\nSe requería el cateter de 22G');</v>
      </c>
    </row>
    <row r="283" spans="1:11" x14ac:dyDescent="0.25">
      <c r="A283" s="1">
        <f t="shared" si="24"/>
        <v>9</v>
      </c>
      <c r="B283" s="5"/>
      <c r="C283" s="3">
        <v>18</v>
      </c>
      <c r="D283" s="3">
        <v>1</v>
      </c>
      <c r="E283" s="3">
        <v>6</v>
      </c>
      <c r="F283" s="3">
        <v>1</v>
      </c>
      <c r="G283" s="3" t="s">
        <v>349</v>
      </c>
      <c r="H283" s="13">
        <v>25</v>
      </c>
      <c r="I283" s="13" t="s">
        <v>325</v>
      </c>
      <c r="J283" s="5"/>
      <c r="K283" s="1" t="str">
        <f t="shared" si="25"/>
        <v>INSERT INTO schema_db.exercises_answers (id_exercises_results,id_exercises,id_users,id_simulators,description,log_time,type,observations) VALUES(18,1,6,1,'1d_paso1d',25,'Paso realizado correctamente','');</v>
      </c>
    </row>
    <row r="284" spans="1:11" x14ac:dyDescent="0.25">
      <c r="A284" s="1">
        <f t="shared" si="24"/>
        <v>9</v>
      </c>
      <c r="B284" s="5"/>
      <c r="C284" s="3">
        <v>18</v>
      </c>
      <c r="D284" s="3">
        <v>1</v>
      </c>
      <c r="E284" s="3">
        <v>6</v>
      </c>
      <c r="F284" s="3">
        <v>1</v>
      </c>
      <c r="G284" s="3" t="s">
        <v>350</v>
      </c>
      <c r="H284" s="13">
        <v>26</v>
      </c>
      <c r="I284" s="3" t="s">
        <v>116</v>
      </c>
      <c r="J284" s="5" t="s">
        <v>327</v>
      </c>
      <c r="K284" s="1" t="str">
        <f t="shared" si="25"/>
        <v>INSERT INTO schema_db.exercises_answers (id_exercises_results,id_exercises,id_users,id_simulators,description,log_time,type,observations) VALUES(18,1,6,1,'1a_paso1a',26,'Error','Es necesario examinar la bomba en estudios con contraste');</v>
      </c>
    </row>
    <row r="285" spans="1:11" x14ac:dyDescent="0.25">
      <c r="A285" s="1">
        <f t="shared" si="24"/>
        <v>9</v>
      </c>
      <c r="B285" s="5"/>
      <c r="C285" s="3">
        <v>18</v>
      </c>
      <c r="D285" s="3">
        <v>1</v>
      </c>
      <c r="E285" s="3">
        <v>6</v>
      </c>
      <c r="F285" s="3">
        <v>1</v>
      </c>
      <c r="G285" s="3" t="s">
        <v>351</v>
      </c>
      <c r="H285" s="13">
        <v>27</v>
      </c>
      <c r="I285" s="3" t="s">
        <v>116</v>
      </c>
      <c r="J285" s="5" t="s">
        <v>328</v>
      </c>
      <c r="K285" s="1" t="str">
        <f t="shared" si="25"/>
        <v>INSERT INTO schema_db.exercises_answers (id_exercises_results,id_exercises,id_users,id_simulators,description,log_time,type,observations) VALUES(18,1,6,1,'1c_paso1c',27,'Error','Preguntas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86" spans="1:11" x14ac:dyDescent="0.25">
      <c r="A286" s="1">
        <f t="shared" si="24"/>
        <v>7</v>
      </c>
      <c r="B286" s="5"/>
      <c r="C286" s="3">
        <v>4</v>
      </c>
      <c r="D286" s="3">
        <v>2</v>
      </c>
      <c r="E286" s="3">
        <v>4</v>
      </c>
      <c r="F286" s="3">
        <v>1</v>
      </c>
      <c r="G286" s="3" t="s">
        <v>352</v>
      </c>
      <c r="H286" s="13">
        <v>28</v>
      </c>
      <c r="I286" s="13" t="s">
        <v>325</v>
      </c>
      <c r="J286" s="5"/>
      <c r="K286" s="1" t="str">
        <f t="shared" si="25"/>
        <v>INSERT INTO schema_db.exercises_answers (id_exercises_results,id_exercises,id_users,id_simulators,description,log_time,type,observations) VALUES(4,2,4,1,'2x_paso2x',28,'Paso realizado correctamente','');</v>
      </c>
    </row>
    <row r="287" spans="1:11" x14ac:dyDescent="0.25">
      <c r="A287" s="1">
        <f t="shared" si="24"/>
        <v>7</v>
      </c>
      <c r="B287" s="5"/>
      <c r="C287" s="3">
        <v>4</v>
      </c>
      <c r="D287" s="3">
        <v>2</v>
      </c>
      <c r="E287" s="3">
        <v>4</v>
      </c>
      <c r="F287" s="3">
        <v>1</v>
      </c>
      <c r="G287" s="3" t="s">
        <v>353</v>
      </c>
      <c r="H287" s="13">
        <v>29</v>
      </c>
      <c r="I287" s="13" t="s">
        <v>116</v>
      </c>
      <c r="J287" s="5" t="s">
        <v>328</v>
      </c>
      <c r="K287" s="1" t="str">
        <f t="shared" si="25"/>
        <v>INSERT INTO schema_db.exercises_answers (id_exercises_results,id_exercises,id_users,id_simulators,description,log_time,type,observations) VALUES(4,2,4,1,'2d_paso2d',29,'Error','Preguntas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88" spans="1:11" x14ac:dyDescent="0.25">
      <c r="A288" s="1">
        <f t="shared" si="24"/>
        <v>8</v>
      </c>
      <c r="B288" s="5"/>
      <c r="C288" s="3">
        <v>5</v>
      </c>
      <c r="D288" s="3">
        <v>2</v>
      </c>
      <c r="E288" s="3">
        <v>5</v>
      </c>
      <c r="F288" s="3">
        <v>1</v>
      </c>
      <c r="G288" s="3" t="s">
        <v>352</v>
      </c>
      <c r="H288" s="13">
        <v>30</v>
      </c>
      <c r="I288" s="13" t="s">
        <v>325</v>
      </c>
      <c r="J288" s="5"/>
      <c r="K288" s="1" t="str">
        <f t="shared" si="25"/>
        <v>INSERT INTO schema_db.exercises_answers (id_exercises_results,id_exercises,id_users,id_simulators,description,log_time,type,observations) VALUES(5,2,5,1,'2x_paso2x',30,'Paso realizado correctamente','');</v>
      </c>
    </row>
    <row r="289" spans="1:11" x14ac:dyDescent="0.25">
      <c r="A289" s="1">
        <f t="shared" si="24"/>
        <v>8</v>
      </c>
      <c r="B289" s="5"/>
      <c r="C289" s="3">
        <v>5</v>
      </c>
      <c r="D289" s="3">
        <v>2</v>
      </c>
      <c r="E289" s="3">
        <v>5</v>
      </c>
      <c r="F289" s="3">
        <v>1</v>
      </c>
      <c r="G289" s="3" t="s">
        <v>353</v>
      </c>
      <c r="H289" s="13">
        <v>31</v>
      </c>
      <c r="I289" s="13" t="s">
        <v>325</v>
      </c>
      <c r="J289" s="5"/>
      <c r="K289" s="1" t="str">
        <f t="shared" si="25"/>
        <v>INSERT INTO schema_db.exercises_answers (id_exercises_results,id_exercises,id_users,id_simulators,description,log_time,type,observations) VALUES(5,2,5,1,'2d_paso2d',31,'Paso realizado correctamente','');</v>
      </c>
    </row>
    <row r="290" spans="1:11" x14ac:dyDescent="0.25">
      <c r="A290" s="1">
        <f t="shared" si="24"/>
        <v>9</v>
      </c>
      <c r="B290" s="5"/>
      <c r="C290" s="3">
        <v>6</v>
      </c>
      <c r="D290" s="3">
        <v>2</v>
      </c>
      <c r="E290" s="3">
        <v>6</v>
      </c>
      <c r="F290" s="3">
        <v>1</v>
      </c>
      <c r="G290" s="3" t="s">
        <v>352</v>
      </c>
      <c r="H290" s="13">
        <v>32</v>
      </c>
      <c r="I290" s="13" t="s">
        <v>325</v>
      </c>
      <c r="J290" s="5"/>
      <c r="K290" s="1" t="str">
        <f t="shared" si="25"/>
        <v>INSERT INTO schema_db.exercises_answers (id_exercises_results,id_exercises,id_users,id_simulators,description,log_time,type,observations) VALUES(6,2,6,1,'2x_paso2x',32,'Paso realizado correctamente','');</v>
      </c>
    </row>
    <row r="291" spans="1:11" x14ac:dyDescent="0.25">
      <c r="A291" s="1">
        <f t="shared" si="24"/>
        <v>9</v>
      </c>
      <c r="B291" s="5"/>
      <c r="C291" s="3">
        <v>6</v>
      </c>
      <c r="D291" s="3">
        <v>2</v>
      </c>
      <c r="E291" s="3">
        <v>6</v>
      </c>
      <c r="F291" s="3">
        <v>1</v>
      </c>
      <c r="G291" s="3" t="s">
        <v>353</v>
      </c>
      <c r="H291" s="13">
        <v>33</v>
      </c>
      <c r="I291" s="13" t="s">
        <v>116</v>
      </c>
      <c r="J291" s="5" t="s">
        <v>326</v>
      </c>
      <c r="K291" s="1" t="str">
        <f t="shared" si="25"/>
        <v>INSERT INTO schema_db.exercises_answers (id_exercises_results,id_exercises,id_users,id_simulators,description,log_time,type,observations) VALUES(6,2,6,1,'2d_paso2d',33,'Error','\nFaltó seleccionar:\nContraste, Jeringa, Algodon, Adhesivo, Descartador, Llave de 3 vías, Solucion, Difenhidramina, Guía\n\nSe requería el cateter de 22G');</v>
      </c>
    </row>
    <row r="292" spans="1:11" x14ac:dyDescent="0.25">
      <c r="A292" s="1">
        <f t="shared" si="24"/>
        <v>7</v>
      </c>
      <c r="B292" s="5"/>
      <c r="C292" s="3">
        <v>19</v>
      </c>
      <c r="D292" s="3">
        <v>2</v>
      </c>
      <c r="E292" s="3">
        <v>4</v>
      </c>
      <c r="F292" s="3">
        <v>1</v>
      </c>
      <c r="G292" s="3" t="s">
        <v>352</v>
      </c>
      <c r="H292" s="13">
        <v>34</v>
      </c>
      <c r="I292" s="13" t="s">
        <v>325</v>
      </c>
      <c r="J292" s="5"/>
      <c r="K292" s="1" t="str">
        <f t="shared" si="25"/>
        <v>INSERT INTO schema_db.exercises_answers (id_exercises_results,id_exercises,id_users,id_simulators,description,log_time,type,observations) VALUES(19,2,4,1,'2x_paso2x',34,'Paso realizado correctamente','');</v>
      </c>
    </row>
    <row r="293" spans="1:11" x14ac:dyDescent="0.25">
      <c r="A293" s="1">
        <f t="shared" si="24"/>
        <v>7</v>
      </c>
      <c r="B293" s="5"/>
      <c r="C293" s="3">
        <v>19</v>
      </c>
      <c r="D293" s="3">
        <v>2</v>
      </c>
      <c r="E293" s="3">
        <v>4</v>
      </c>
      <c r="F293" s="3">
        <v>1</v>
      </c>
      <c r="G293" s="3" t="s">
        <v>353</v>
      </c>
      <c r="H293" s="13">
        <v>35</v>
      </c>
      <c r="I293" s="3" t="s">
        <v>116</v>
      </c>
      <c r="J293" s="5" t="s">
        <v>327</v>
      </c>
      <c r="K293" s="1" t="str">
        <f t="shared" si="25"/>
        <v>INSERT INTO schema_db.exercises_answers (id_exercises_results,id_exercises,id_users,id_simulators,description,log_time,type,observations) VALUES(19,2,4,1,'2d_paso2d',35,'Error','Es necesario examinar la bomba en estudios con contraste');</v>
      </c>
    </row>
    <row r="294" spans="1:11" x14ac:dyDescent="0.25">
      <c r="A294" s="1">
        <f t="shared" si="24"/>
        <v>8</v>
      </c>
      <c r="B294" s="5"/>
      <c r="C294" s="3">
        <v>20</v>
      </c>
      <c r="D294" s="3">
        <v>2</v>
      </c>
      <c r="E294" s="3">
        <v>5</v>
      </c>
      <c r="F294" s="3">
        <v>1</v>
      </c>
      <c r="G294" s="3" t="s">
        <v>352</v>
      </c>
      <c r="H294" s="13">
        <v>36</v>
      </c>
      <c r="I294" s="3" t="s">
        <v>116</v>
      </c>
      <c r="J294" s="5" t="s">
        <v>328</v>
      </c>
      <c r="K294" s="1" t="str">
        <f t="shared" si="25"/>
        <v>INSERT INTO schema_db.exercises_answers (id_exercises_results,id_exercises,id_users,id_simulators,description,log_time,type,observations) VALUES(20,2,5,1,'2x_paso2x',36,'Error','Preguntas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95" spans="1:11" x14ac:dyDescent="0.25">
      <c r="A295" s="1">
        <f t="shared" si="24"/>
        <v>8</v>
      </c>
      <c r="B295" s="5"/>
      <c r="C295" s="3">
        <v>20</v>
      </c>
      <c r="D295" s="3">
        <v>2</v>
      </c>
      <c r="E295" s="3">
        <v>5</v>
      </c>
      <c r="F295" s="3">
        <v>1</v>
      </c>
      <c r="G295" s="3" t="s">
        <v>353</v>
      </c>
      <c r="H295" s="13">
        <v>37</v>
      </c>
      <c r="I295" s="13" t="s">
        <v>325</v>
      </c>
      <c r="J295" s="5"/>
      <c r="K295" s="1" t="str">
        <f t="shared" si="25"/>
        <v>INSERT INTO schema_db.exercises_answers (id_exercises_results,id_exercises,id_users,id_simulators,description,log_time,type,observations) VALUES(20,2,5,1,'2d_paso2d',37,'Paso realizado correctamente','');</v>
      </c>
    </row>
    <row r="296" spans="1:11" x14ac:dyDescent="0.25">
      <c r="A296" s="1">
        <f t="shared" si="24"/>
        <v>9</v>
      </c>
      <c r="B296" s="5"/>
      <c r="C296" s="3">
        <v>21</v>
      </c>
      <c r="D296" s="3">
        <v>2</v>
      </c>
      <c r="E296" s="3">
        <v>6</v>
      </c>
      <c r="F296" s="3">
        <v>1</v>
      </c>
      <c r="G296" s="3" t="s">
        <v>352</v>
      </c>
      <c r="H296" s="13">
        <v>38</v>
      </c>
      <c r="I296" s="13" t="s">
        <v>116</v>
      </c>
      <c r="J296" s="5" t="s">
        <v>326</v>
      </c>
      <c r="K296" s="1" t="str">
        <f t="shared" si="25"/>
        <v>INSERT INTO schema_db.exercises_answers (id_exercises_results,id_exercises,id_users,id_simulators,description,log_time,type,observations) VALUES(21,2,6,1,'2x_paso2x',38,'Error','\nFaltó seleccionar:\nContraste, Jeringa, Algodon, Adhesivo, Descartador, Llave de 3 vías, Solucion, Difenhidramina, Guía\n\nSe requería el cateter de 22G');</v>
      </c>
    </row>
    <row r="297" spans="1:11" x14ac:dyDescent="0.25">
      <c r="A297" s="1">
        <f t="shared" si="24"/>
        <v>9</v>
      </c>
      <c r="B297" s="5"/>
      <c r="C297" s="3">
        <v>21</v>
      </c>
      <c r="D297" s="3">
        <v>2</v>
      </c>
      <c r="E297" s="3">
        <v>6</v>
      </c>
      <c r="F297" s="3">
        <v>1</v>
      </c>
      <c r="G297" s="3" t="s">
        <v>353</v>
      </c>
      <c r="H297" s="13">
        <v>39</v>
      </c>
      <c r="I297" s="13" t="s">
        <v>325</v>
      </c>
      <c r="J297" s="5"/>
      <c r="K297" s="1" t="str">
        <f t="shared" si="25"/>
        <v>INSERT INTO schema_db.exercises_answers (id_exercises_results,id_exercises,id_users,id_simulators,description,log_time,type,observations) VALUES(21,2,6,1,'2d_paso2d',39,'Paso realizado correctamente','');</v>
      </c>
    </row>
    <row r="298" spans="1:11" x14ac:dyDescent="0.25">
      <c r="A298" s="1">
        <f t="shared" si="24"/>
        <v>7</v>
      </c>
      <c r="B298" s="5"/>
      <c r="C298" s="3">
        <v>7</v>
      </c>
      <c r="D298" s="3">
        <v>3</v>
      </c>
      <c r="E298" s="3">
        <v>4</v>
      </c>
      <c r="F298" s="3">
        <v>1</v>
      </c>
      <c r="G298" s="3" t="s">
        <v>354</v>
      </c>
      <c r="H298" s="13">
        <v>40</v>
      </c>
      <c r="I298" s="13" t="s">
        <v>325</v>
      </c>
      <c r="J298" s="5"/>
      <c r="K298" s="1" t="str">
        <f t="shared" si="25"/>
        <v>INSERT INTO schema_db.exercises_answers (id_exercises_results,id_exercises,id_users,id_simulators,description,log_time,type,observations) VALUES(7,3,4,1,'3c_paso3c',40,'Paso realizado correctamente','');</v>
      </c>
    </row>
    <row r="299" spans="1:11" x14ac:dyDescent="0.25">
      <c r="A299" s="1">
        <f t="shared" si="24"/>
        <v>7</v>
      </c>
      <c r="B299" s="5"/>
      <c r="C299" s="3">
        <v>7</v>
      </c>
      <c r="D299" s="3">
        <v>3</v>
      </c>
      <c r="E299" s="3">
        <v>4</v>
      </c>
      <c r="F299" s="3">
        <v>1</v>
      </c>
      <c r="G299" s="3" t="s">
        <v>355</v>
      </c>
      <c r="H299" s="13">
        <v>41</v>
      </c>
      <c r="I299" s="13" t="s">
        <v>325</v>
      </c>
      <c r="J299" s="5"/>
      <c r="K299" s="1" t="str">
        <f t="shared" si="25"/>
        <v>INSERT INTO schema_db.exercises_answers (id_exercises_results,id_exercises,id_users,id_simulators,description,log_time,type,observations) VALUES(7,3,4,1,'3f_paso3f',41,'Paso realizado correctamente','');</v>
      </c>
    </row>
    <row r="300" spans="1:11" x14ac:dyDescent="0.25">
      <c r="A300" s="1">
        <f t="shared" si="24"/>
        <v>7</v>
      </c>
      <c r="B300" s="5"/>
      <c r="C300" s="3">
        <v>7</v>
      </c>
      <c r="D300" s="3">
        <v>3</v>
      </c>
      <c r="E300" s="3">
        <v>4</v>
      </c>
      <c r="F300" s="3">
        <v>1</v>
      </c>
      <c r="G300" s="3" t="s">
        <v>356</v>
      </c>
      <c r="H300" s="13">
        <v>42</v>
      </c>
      <c r="I300" s="13" t="s">
        <v>116</v>
      </c>
      <c r="J300" s="5" t="s">
        <v>327</v>
      </c>
      <c r="K300" s="1" t="str">
        <f t="shared" si="25"/>
        <v>INSERT INTO schema_db.exercises_answers (id_exercises_results,id_exercises,id_users,id_simulators,description,log_time,type,observations) VALUES(7,3,4,1,'3p_paso3p',42,'Error','Es necesario examinar la bomba en estudios con contraste');</v>
      </c>
    </row>
    <row r="301" spans="1:11" x14ac:dyDescent="0.25">
      <c r="A301" s="1">
        <f t="shared" si="24"/>
        <v>7</v>
      </c>
      <c r="B301" s="5"/>
      <c r="C301" s="3">
        <v>7</v>
      </c>
      <c r="D301" s="3">
        <v>3</v>
      </c>
      <c r="E301" s="3">
        <v>4</v>
      </c>
      <c r="F301" s="3">
        <v>1</v>
      </c>
      <c r="G301" s="3" t="s">
        <v>357</v>
      </c>
      <c r="H301" s="13">
        <v>43</v>
      </c>
      <c r="I301" s="13" t="s">
        <v>325</v>
      </c>
      <c r="J301" s="5"/>
      <c r="K301" s="1" t="str">
        <f t="shared" si="25"/>
        <v>INSERT INTO schema_db.exercises_answers (id_exercises_results,id_exercises,id_users,id_simulators,description,log_time,type,observations) VALUES(7,3,4,1,'3x_paso3x',43,'Paso realizado correctamente','');</v>
      </c>
    </row>
    <row r="302" spans="1:11" x14ac:dyDescent="0.25">
      <c r="A302" s="1">
        <f t="shared" si="24"/>
        <v>7</v>
      </c>
      <c r="B302" s="5"/>
      <c r="C302" s="3">
        <v>7</v>
      </c>
      <c r="D302" s="3">
        <v>3</v>
      </c>
      <c r="E302" s="3">
        <v>4</v>
      </c>
      <c r="F302" s="3">
        <v>1</v>
      </c>
      <c r="G302" s="3" t="s">
        <v>358</v>
      </c>
      <c r="H302" s="13">
        <v>44</v>
      </c>
      <c r="I302" s="3" t="s">
        <v>116</v>
      </c>
      <c r="J302" s="5" t="s">
        <v>328</v>
      </c>
      <c r="K302" s="1" t="str">
        <f t="shared" si="25"/>
        <v>INSERT INTO schema_db.exercises_answers (id_exercises_results,id_exercises,id_users,id_simulators,description,log_time,type,observations) VALUES(7,3,4,1,'3w_paso3w',44,'Error','Preguntas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3" spans="1:11" x14ac:dyDescent="0.25">
      <c r="A303" s="1">
        <f t="shared" si="24"/>
        <v>8</v>
      </c>
      <c r="B303" s="5"/>
      <c r="C303" s="3">
        <v>8</v>
      </c>
      <c r="D303" s="3">
        <v>3</v>
      </c>
      <c r="E303" s="3">
        <v>5</v>
      </c>
      <c r="F303" s="3">
        <v>1</v>
      </c>
      <c r="G303" s="3" t="s">
        <v>354</v>
      </c>
      <c r="H303" s="13">
        <v>45</v>
      </c>
      <c r="I303" s="3" t="s">
        <v>116</v>
      </c>
      <c r="J303" s="5" t="s">
        <v>326</v>
      </c>
      <c r="K303" s="1" t="str">
        <f t="shared" si="25"/>
        <v>INSERT INTO schema_db.exercises_answers (id_exercises_results,id_exercises,id_users,id_simulators,description,log_time,type,observations) VALUES(8,3,5,1,'3c_paso3c',45,'Error','\nFaltó seleccionar:\nContraste, Jeringa, Algodon, Adhesivo, Descartador, Llave de 3 vías, Solucion, Difenhidramina, Guía\n\nSe requería el cateter de 22G');</v>
      </c>
    </row>
    <row r="304" spans="1:11" x14ac:dyDescent="0.25">
      <c r="A304" s="1">
        <f t="shared" si="24"/>
        <v>8</v>
      </c>
      <c r="B304" s="5"/>
      <c r="C304" s="3">
        <v>8</v>
      </c>
      <c r="D304" s="3">
        <v>3</v>
      </c>
      <c r="E304" s="3">
        <v>5</v>
      </c>
      <c r="F304" s="3">
        <v>1</v>
      </c>
      <c r="G304" s="3" t="s">
        <v>355</v>
      </c>
      <c r="H304" s="13">
        <v>46</v>
      </c>
      <c r="I304" s="13" t="s">
        <v>325</v>
      </c>
      <c r="J304" s="5"/>
      <c r="K304" s="1" t="str">
        <f t="shared" si="25"/>
        <v>INSERT INTO schema_db.exercises_answers (id_exercises_results,id_exercises,id_users,id_simulators,description,log_time,type,observations) VALUES(8,3,5,1,'3f_paso3f',46,'Paso realizado correctamente','');</v>
      </c>
    </row>
    <row r="305" spans="1:11" x14ac:dyDescent="0.25">
      <c r="A305" s="1">
        <f t="shared" si="24"/>
        <v>8</v>
      </c>
      <c r="B305" s="5"/>
      <c r="C305" s="3">
        <v>8</v>
      </c>
      <c r="D305" s="3">
        <v>3</v>
      </c>
      <c r="E305" s="3">
        <v>5</v>
      </c>
      <c r="F305" s="3">
        <v>1</v>
      </c>
      <c r="G305" s="3" t="s">
        <v>356</v>
      </c>
      <c r="H305" s="13">
        <v>47</v>
      </c>
      <c r="I305" s="13" t="s">
        <v>116</v>
      </c>
      <c r="J305" s="5" t="s">
        <v>327</v>
      </c>
      <c r="K305" s="1" t="str">
        <f t="shared" si="25"/>
        <v>INSERT INTO schema_db.exercises_answers (id_exercises_results,id_exercises,id_users,id_simulators,description,log_time,type,observations) VALUES(8,3,5,1,'3p_paso3p',47,'Error','Es necesario examinar la bomba en estudios con contraste');</v>
      </c>
    </row>
    <row r="306" spans="1:11" x14ac:dyDescent="0.25">
      <c r="A306" s="1">
        <f t="shared" si="24"/>
        <v>8</v>
      </c>
      <c r="B306" s="5"/>
      <c r="C306" s="3">
        <v>8</v>
      </c>
      <c r="D306" s="3">
        <v>3</v>
      </c>
      <c r="E306" s="3">
        <v>5</v>
      </c>
      <c r="F306" s="3">
        <v>1</v>
      </c>
      <c r="G306" s="3" t="s">
        <v>357</v>
      </c>
      <c r="H306" s="13">
        <v>48</v>
      </c>
      <c r="I306" s="13" t="s">
        <v>325</v>
      </c>
      <c r="J306" s="5"/>
      <c r="K306" s="1" t="str">
        <f t="shared" si="25"/>
        <v>INSERT INTO schema_db.exercises_answers (id_exercises_results,id_exercises,id_users,id_simulators,description,log_time,type,observations) VALUES(8,3,5,1,'3x_paso3x',48,'Paso realizado correctamente','');</v>
      </c>
    </row>
    <row r="307" spans="1:11" x14ac:dyDescent="0.25">
      <c r="A307" s="1">
        <f t="shared" si="24"/>
        <v>8</v>
      </c>
      <c r="B307" s="5"/>
      <c r="C307" s="3">
        <v>8</v>
      </c>
      <c r="D307" s="3">
        <v>3</v>
      </c>
      <c r="E307" s="3">
        <v>5</v>
      </c>
      <c r="F307" s="3">
        <v>1</v>
      </c>
      <c r="G307" s="3" t="s">
        <v>358</v>
      </c>
      <c r="H307" s="13">
        <v>49</v>
      </c>
      <c r="I307" s="13" t="s">
        <v>325</v>
      </c>
      <c r="J307" s="5"/>
      <c r="K307" s="1" t="str">
        <f t="shared" si="25"/>
        <v>INSERT INTO schema_db.exercises_answers (id_exercises_results,id_exercises,id_users,id_simulators,description,log_time,type,observations) VALUES(8,3,5,1,'3w_paso3w',49,'Paso realizado correctamente','');</v>
      </c>
    </row>
    <row r="308" spans="1:11" x14ac:dyDescent="0.25">
      <c r="A308" s="1">
        <f t="shared" si="24"/>
        <v>9</v>
      </c>
      <c r="B308" s="5"/>
      <c r="C308" s="3">
        <v>9</v>
      </c>
      <c r="D308" s="3">
        <v>3</v>
      </c>
      <c r="E308" s="3">
        <v>6</v>
      </c>
      <c r="F308" s="3">
        <v>1</v>
      </c>
      <c r="G308" s="3" t="s">
        <v>354</v>
      </c>
      <c r="H308" s="13">
        <v>50</v>
      </c>
      <c r="I308" s="13" t="s">
        <v>325</v>
      </c>
      <c r="J308" s="5"/>
      <c r="K308" s="1" t="str">
        <f t="shared" si="25"/>
        <v>INSERT INTO schema_db.exercises_answers (id_exercises_results,id_exercises,id_users,id_simulators,description,log_time,type,observations) VALUES(9,3,6,1,'3c_paso3c',50,'Paso realizado correctamente','');</v>
      </c>
    </row>
    <row r="309" spans="1:11" x14ac:dyDescent="0.25">
      <c r="A309" s="1">
        <f t="shared" si="24"/>
        <v>9</v>
      </c>
      <c r="B309" s="5"/>
      <c r="C309" s="3">
        <v>9</v>
      </c>
      <c r="D309" s="3">
        <v>3</v>
      </c>
      <c r="E309" s="3">
        <v>6</v>
      </c>
      <c r="F309" s="3">
        <v>1</v>
      </c>
      <c r="G309" s="3" t="s">
        <v>355</v>
      </c>
      <c r="H309" s="13">
        <v>51</v>
      </c>
      <c r="I309" s="13" t="s">
        <v>116</v>
      </c>
      <c r="J309" s="5" t="s">
        <v>326</v>
      </c>
      <c r="K309" s="1" t="str">
        <f t="shared" si="25"/>
        <v>INSERT INTO schema_db.exercises_answers (id_exercises_results,id_exercises,id_users,id_simulators,description,log_time,type,observations) VALUES(9,3,6,1,'3f_paso3f',51,'Error','\nFaltó seleccionar:\nContraste, Jeringa, Algodon, Adhesivo, Descartador, Llave de 3 vías, Solucion, Difenhidramina, Guía\n\nSe requería el cateter de 22G');</v>
      </c>
    </row>
    <row r="310" spans="1:11" x14ac:dyDescent="0.25">
      <c r="A310" s="1">
        <f t="shared" si="24"/>
        <v>9</v>
      </c>
      <c r="B310" s="5"/>
      <c r="C310" s="3">
        <v>9</v>
      </c>
      <c r="D310" s="3">
        <v>3</v>
      </c>
      <c r="E310" s="3">
        <v>6</v>
      </c>
      <c r="F310" s="3">
        <v>1</v>
      </c>
      <c r="G310" s="3" t="s">
        <v>356</v>
      </c>
      <c r="H310" s="13">
        <v>52</v>
      </c>
      <c r="I310" s="13" t="s">
        <v>325</v>
      </c>
      <c r="J310" s="5"/>
      <c r="K310" s="1" t="str">
        <f t="shared" si="25"/>
        <v>INSERT INTO schema_db.exercises_answers (id_exercises_results,id_exercises,id_users,id_simulators,description,log_time,type,observations) VALUES(9,3,6,1,'3p_paso3p',52,'Paso realizado correctamente','');</v>
      </c>
    </row>
    <row r="311" spans="1:11" x14ac:dyDescent="0.25">
      <c r="A311" s="1">
        <f t="shared" si="24"/>
        <v>9</v>
      </c>
      <c r="B311" s="5"/>
      <c r="C311" s="3">
        <v>9</v>
      </c>
      <c r="D311" s="3">
        <v>3</v>
      </c>
      <c r="E311" s="3">
        <v>6</v>
      </c>
      <c r="F311" s="3">
        <v>1</v>
      </c>
      <c r="G311" s="3" t="s">
        <v>357</v>
      </c>
      <c r="H311" s="13">
        <v>53</v>
      </c>
      <c r="I311" s="3" t="s">
        <v>116</v>
      </c>
      <c r="J311" s="5" t="s">
        <v>327</v>
      </c>
      <c r="K311" s="1" t="str">
        <f t="shared" si="25"/>
        <v>INSERT INTO schema_db.exercises_answers (id_exercises_results,id_exercises,id_users,id_simulators,description,log_time,type,observations) VALUES(9,3,6,1,'3x_paso3x',53,'Error','Es necesario examinar la bomba en estudios con contraste');</v>
      </c>
    </row>
    <row r="312" spans="1:11" x14ac:dyDescent="0.25">
      <c r="A312" s="1">
        <f t="shared" si="24"/>
        <v>9</v>
      </c>
      <c r="B312" s="5"/>
      <c r="C312" s="3">
        <v>9</v>
      </c>
      <c r="D312" s="3">
        <v>3</v>
      </c>
      <c r="E312" s="3">
        <v>6</v>
      </c>
      <c r="F312" s="3">
        <v>1</v>
      </c>
      <c r="G312" s="3" t="s">
        <v>358</v>
      </c>
      <c r="H312" s="13">
        <v>54</v>
      </c>
      <c r="I312" s="3" t="s">
        <v>116</v>
      </c>
      <c r="J312" s="5" t="s">
        <v>326</v>
      </c>
      <c r="K312" s="1" t="str">
        <f t="shared" si="25"/>
        <v>INSERT INTO schema_db.exercises_answers (id_exercises_results,id_exercises,id_users,id_simulators,description,log_time,type,observations) VALUES(9,3,6,1,'3w_paso3w',54,'Error','\nFaltó seleccionar:\nContraste, Jeringa, Algodon, Adhesivo, Descartador, Llave de 3 vías, Solucion, Difenhidramina, Guía\n\nSe requería el cateter de 22G');</v>
      </c>
    </row>
    <row r="313" spans="1:11" x14ac:dyDescent="0.25">
      <c r="A313" s="1">
        <f t="shared" si="24"/>
        <v>7</v>
      </c>
      <c r="B313" s="5"/>
      <c r="C313" s="3">
        <v>22</v>
      </c>
      <c r="D313" s="3">
        <v>3</v>
      </c>
      <c r="E313" s="3">
        <v>4</v>
      </c>
      <c r="F313" s="3">
        <v>1</v>
      </c>
      <c r="G313" s="3" t="s">
        <v>354</v>
      </c>
      <c r="H313" s="13">
        <v>55</v>
      </c>
      <c r="I313" s="13" t="s">
        <v>325</v>
      </c>
      <c r="J313" s="5"/>
      <c r="K313" s="1" t="str">
        <f t="shared" si="25"/>
        <v>INSERT INTO schema_db.exercises_answers (id_exercises_results,id_exercises,id_users,id_simulators,description,log_time,type,observations) VALUES(22,3,4,1,'3c_paso3c',55,'Paso realizado correctamente','');</v>
      </c>
    </row>
    <row r="314" spans="1:11" x14ac:dyDescent="0.25">
      <c r="A314" s="1">
        <f t="shared" si="24"/>
        <v>7</v>
      </c>
      <c r="B314" s="5"/>
      <c r="C314" s="3">
        <v>22</v>
      </c>
      <c r="D314" s="3">
        <v>3</v>
      </c>
      <c r="E314" s="3">
        <v>4</v>
      </c>
      <c r="F314" s="3">
        <v>1</v>
      </c>
      <c r="G314" s="3" t="s">
        <v>355</v>
      </c>
      <c r="H314" s="13">
        <v>56</v>
      </c>
      <c r="I314" s="13" t="s">
        <v>116</v>
      </c>
      <c r="J314" s="5" t="s">
        <v>327</v>
      </c>
      <c r="K314" s="1" t="str">
        <f t="shared" si="25"/>
        <v>INSERT INTO schema_db.exercises_answers (id_exercises_results,id_exercises,id_users,id_simulators,description,log_time,type,observations) VALUES(22,3,4,1,'3f_paso3f',56,'Error','Es necesario examinar la bomba en estudios con contraste');</v>
      </c>
    </row>
    <row r="315" spans="1:11" x14ac:dyDescent="0.25">
      <c r="A315" s="1">
        <f t="shared" si="24"/>
        <v>7</v>
      </c>
      <c r="B315" s="5"/>
      <c r="C315" s="3">
        <v>22</v>
      </c>
      <c r="D315" s="3">
        <v>3</v>
      </c>
      <c r="E315" s="3">
        <v>4</v>
      </c>
      <c r="F315" s="3">
        <v>1</v>
      </c>
      <c r="G315" s="3" t="s">
        <v>356</v>
      </c>
      <c r="H315" s="13">
        <v>57</v>
      </c>
      <c r="I315" s="13" t="s">
        <v>325</v>
      </c>
      <c r="J315" s="5"/>
      <c r="K315" s="1" t="str">
        <f t="shared" si="25"/>
        <v>INSERT INTO schema_db.exercises_answers (id_exercises_results,id_exercises,id_users,id_simulators,description,log_time,type,observations) VALUES(22,3,4,1,'3p_paso3p',57,'Paso realizado correctamente','');</v>
      </c>
    </row>
    <row r="316" spans="1:11" x14ac:dyDescent="0.25">
      <c r="A316" s="1">
        <f t="shared" si="24"/>
        <v>7</v>
      </c>
      <c r="B316" s="5"/>
      <c r="C316" s="3">
        <v>22</v>
      </c>
      <c r="D316" s="3">
        <v>3</v>
      </c>
      <c r="E316" s="3">
        <v>4</v>
      </c>
      <c r="F316" s="3">
        <v>1</v>
      </c>
      <c r="G316" s="3" t="s">
        <v>357</v>
      </c>
      <c r="H316" s="13">
        <v>58</v>
      </c>
      <c r="I316" s="13" t="s">
        <v>325</v>
      </c>
      <c r="J316" s="5"/>
      <c r="K316" s="1" t="str">
        <f t="shared" si="25"/>
        <v>INSERT INTO schema_db.exercises_answers (id_exercises_results,id_exercises,id_users,id_simulators,description,log_time,type,observations) VALUES(22,3,4,1,'3x_paso3x',58,'Paso realizado correctamente','');</v>
      </c>
    </row>
    <row r="317" spans="1:11" x14ac:dyDescent="0.25">
      <c r="A317" s="1">
        <f t="shared" si="24"/>
        <v>7</v>
      </c>
      <c r="B317" s="5"/>
      <c r="C317" s="3">
        <v>22</v>
      </c>
      <c r="D317" s="3">
        <v>3</v>
      </c>
      <c r="E317" s="3">
        <v>4</v>
      </c>
      <c r="F317" s="3">
        <v>1</v>
      </c>
      <c r="G317" s="3" t="s">
        <v>358</v>
      </c>
      <c r="H317" s="13">
        <v>59</v>
      </c>
      <c r="I317" s="13" t="s">
        <v>325</v>
      </c>
      <c r="J317" s="5"/>
      <c r="K317" s="1" t="str">
        <f t="shared" si="25"/>
        <v>INSERT INTO schema_db.exercises_answers (id_exercises_results,id_exercises,id_users,id_simulators,description,log_time,type,observations) VALUES(22,3,4,1,'3w_paso3w',59,'Paso realizado correctamente','');</v>
      </c>
    </row>
    <row r="318" spans="1:11" x14ac:dyDescent="0.25">
      <c r="A318" s="1">
        <f t="shared" si="24"/>
        <v>8</v>
      </c>
      <c r="B318" s="5"/>
      <c r="C318" s="3">
        <v>23</v>
      </c>
      <c r="D318" s="3">
        <v>3</v>
      </c>
      <c r="E318" s="3">
        <v>5</v>
      </c>
      <c r="F318" s="3">
        <v>1</v>
      </c>
      <c r="G318" s="3" t="s">
        <v>354</v>
      </c>
      <c r="H318" s="13">
        <v>60</v>
      </c>
      <c r="I318" s="13" t="s">
        <v>116</v>
      </c>
      <c r="J318" s="5" t="s">
        <v>328</v>
      </c>
      <c r="K318" s="1" t="str">
        <f t="shared" si="25"/>
        <v>INSERT INTO schema_db.exercises_answers (id_exercises_results,id_exercises,id_users,id_simulators,description,log_time,type,observations) VALUES(23,3,5,1,'3c_paso3c',60,'Error','Preguntas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9" spans="1:11" x14ac:dyDescent="0.25">
      <c r="A319" s="1">
        <f t="shared" si="24"/>
        <v>8</v>
      </c>
      <c r="B319" s="5"/>
      <c r="C319" s="3">
        <v>23</v>
      </c>
      <c r="D319" s="3">
        <v>3</v>
      </c>
      <c r="E319" s="3">
        <v>5</v>
      </c>
      <c r="F319" s="3">
        <v>1</v>
      </c>
      <c r="G319" s="3" t="s">
        <v>355</v>
      </c>
      <c r="H319" s="13">
        <v>61</v>
      </c>
      <c r="I319" s="13" t="s">
        <v>325</v>
      </c>
      <c r="J319" s="5"/>
      <c r="K319" s="1" t="str">
        <f t="shared" si="25"/>
        <v>INSERT INTO schema_db.exercises_answers (id_exercises_results,id_exercises,id_users,id_simulators,description,log_time,type,observations) VALUES(23,3,5,1,'3f_paso3f',61,'Paso realizado correctamente','');</v>
      </c>
    </row>
    <row r="320" spans="1:11" x14ac:dyDescent="0.25">
      <c r="A320" s="1">
        <f t="shared" si="24"/>
        <v>8</v>
      </c>
      <c r="B320" s="5"/>
      <c r="C320" s="3">
        <v>23</v>
      </c>
      <c r="D320" s="3">
        <v>3</v>
      </c>
      <c r="E320" s="3">
        <v>5</v>
      </c>
      <c r="F320" s="3">
        <v>1</v>
      </c>
      <c r="G320" s="3" t="s">
        <v>356</v>
      </c>
      <c r="H320" s="13">
        <v>62</v>
      </c>
      <c r="I320" s="3" t="s">
        <v>116</v>
      </c>
      <c r="J320" s="5" t="s">
        <v>326</v>
      </c>
      <c r="K320" s="1" t="str">
        <f t="shared" si="25"/>
        <v>INSERT INTO schema_db.exercises_answers (id_exercises_results,id_exercises,id_users,id_simulators,description,log_time,type,observations) VALUES(23,3,5,1,'3p_paso3p',62,'Error','\nFaltó seleccionar:\nContraste, Jeringa, Algodon, Adhesivo, Descartador, Llave de 3 vías, Solucion, Difenhidramina, Guía\n\nSe requería el cateter de 22G');</v>
      </c>
    </row>
    <row r="321" spans="1:11" x14ac:dyDescent="0.25">
      <c r="A321" s="1">
        <f t="shared" si="24"/>
        <v>8</v>
      </c>
      <c r="B321" s="5"/>
      <c r="C321" s="3">
        <v>23</v>
      </c>
      <c r="D321" s="3">
        <v>3</v>
      </c>
      <c r="E321" s="3">
        <v>5</v>
      </c>
      <c r="F321" s="3">
        <v>1</v>
      </c>
      <c r="G321" s="3" t="s">
        <v>357</v>
      </c>
      <c r="H321" s="13">
        <v>63</v>
      </c>
      <c r="I321" s="3" t="s">
        <v>116</v>
      </c>
      <c r="J321" s="5" t="s">
        <v>327</v>
      </c>
      <c r="K321" s="1" t="str">
        <f t="shared" si="25"/>
        <v>INSERT INTO schema_db.exercises_answers (id_exercises_results,id_exercises,id_users,id_simulators,description,log_time,type,observations) VALUES(23,3,5,1,'3x_paso3x',63,'Error','Es necesario examinar la bomba en estudios con contraste');</v>
      </c>
    </row>
    <row r="322" spans="1:11" x14ac:dyDescent="0.25">
      <c r="A322" s="1">
        <f t="shared" si="24"/>
        <v>8</v>
      </c>
      <c r="B322" s="5"/>
      <c r="C322" s="3">
        <v>23</v>
      </c>
      <c r="D322" s="3">
        <v>3</v>
      </c>
      <c r="E322" s="3">
        <v>5</v>
      </c>
      <c r="F322" s="3">
        <v>1</v>
      </c>
      <c r="G322" s="3" t="s">
        <v>358</v>
      </c>
      <c r="H322" s="13">
        <v>64</v>
      </c>
      <c r="I322" s="13" t="s">
        <v>325</v>
      </c>
      <c r="J322" s="5"/>
      <c r="K322" s="1" t="str">
        <f t="shared" si="25"/>
        <v>INSERT INTO schema_db.exercises_answers (id_exercises_results,id_exercises,id_users,id_simulators,description,log_time,type,observations) VALUES(23,3,5,1,'3w_paso3w',64,'Paso realizado correctamente','');</v>
      </c>
    </row>
    <row r="323" spans="1:11" x14ac:dyDescent="0.25">
      <c r="A323" s="1">
        <f t="shared" si="24"/>
        <v>9</v>
      </c>
      <c r="B323" s="5"/>
      <c r="C323" s="3">
        <v>24</v>
      </c>
      <c r="D323" s="3">
        <v>3</v>
      </c>
      <c r="E323" s="3">
        <v>6</v>
      </c>
      <c r="F323" s="3">
        <v>1</v>
      </c>
      <c r="G323" s="3" t="s">
        <v>354</v>
      </c>
      <c r="H323" s="13">
        <v>65</v>
      </c>
      <c r="I323" s="13" t="s">
        <v>116</v>
      </c>
      <c r="J323" s="5" t="s">
        <v>326</v>
      </c>
      <c r="K323" s="1" t="str">
        <f t="shared" si="25"/>
        <v>INSERT INTO schema_db.exercises_answers (id_exercises_results,id_exercises,id_users,id_simulators,description,log_time,type,observations) VALUES(24,3,6,1,'3c_paso3c',65,'Error','\nFaltó seleccionar:\nContraste, Jeringa, Algodon, Adhesivo, Descartador, Llave de 3 vías, Solucion, Difenhidramina, Guía\n\nSe requería el cateter de 22G');</v>
      </c>
    </row>
    <row r="324" spans="1:11" x14ac:dyDescent="0.25">
      <c r="A324" s="1">
        <f t="shared" si="24"/>
        <v>9</v>
      </c>
      <c r="B324" s="5"/>
      <c r="C324" s="3">
        <v>24</v>
      </c>
      <c r="D324" s="3">
        <v>3</v>
      </c>
      <c r="E324" s="3">
        <v>6</v>
      </c>
      <c r="F324" s="3">
        <v>1</v>
      </c>
      <c r="G324" s="3" t="s">
        <v>355</v>
      </c>
      <c r="H324" s="13">
        <v>66</v>
      </c>
      <c r="I324" s="13" t="s">
        <v>325</v>
      </c>
      <c r="J324" s="5"/>
      <c r="K324" s="1" t="str">
        <f t="shared" si="25"/>
        <v>INSERT INTO schema_db.exercises_answers (id_exercises_results,id_exercises,id_users,id_simulators,description,log_time,type,observations) VALUES(24,3,6,1,'3f_paso3f',66,'Paso realizado correctamente','');</v>
      </c>
    </row>
    <row r="325" spans="1:11" x14ac:dyDescent="0.25">
      <c r="A325" s="1">
        <f t="shared" si="24"/>
        <v>9</v>
      </c>
      <c r="B325" s="5"/>
      <c r="C325" s="3">
        <v>24</v>
      </c>
      <c r="D325" s="3">
        <v>3</v>
      </c>
      <c r="E325" s="3">
        <v>6</v>
      </c>
      <c r="F325" s="3">
        <v>1</v>
      </c>
      <c r="G325" s="3" t="s">
        <v>356</v>
      </c>
      <c r="H325" s="13">
        <v>67</v>
      </c>
      <c r="I325" s="13" t="s">
        <v>325</v>
      </c>
      <c r="J325" s="5"/>
      <c r="K325" s="1" t="str">
        <f t="shared" si="25"/>
        <v>INSERT INTO schema_db.exercises_answers (id_exercises_results,id_exercises,id_users,id_simulators,description,log_time,type,observations) VALUES(24,3,6,1,'3p_paso3p',67,'Paso realizado correctamente','');</v>
      </c>
    </row>
    <row r="326" spans="1:11" x14ac:dyDescent="0.25">
      <c r="A326" s="1">
        <f t="shared" si="24"/>
        <v>9</v>
      </c>
      <c r="B326" s="5"/>
      <c r="C326" s="3">
        <v>24</v>
      </c>
      <c r="D326" s="3">
        <v>3</v>
      </c>
      <c r="E326" s="3">
        <v>6</v>
      </c>
      <c r="F326" s="3">
        <v>1</v>
      </c>
      <c r="G326" s="3" t="s">
        <v>357</v>
      </c>
      <c r="H326" s="13">
        <v>68</v>
      </c>
      <c r="I326" s="13" t="s">
        <v>325</v>
      </c>
      <c r="J326" s="5"/>
      <c r="K326" s="1" t="str">
        <f t="shared" si="25"/>
        <v>INSERT INTO schema_db.exercises_answers (id_exercises_results,id_exercises,id_users,id_simulators,description,log_time,type,observations) VALUES(24,3,6,1,'3x_paso3x',68,'Paso realizado correctamente','');</v>
      </c>
    </row>
    <row r="327" spans="1:11" x14ac:dyDescent="0.25">
      <c r="A327" s="1">
        <f t="shared" si="24"/>
        <v>9</v>
      </c>
      <c r="B327" s="5"/>
      <c r="C327" s="3">
        <v>24</v>
      </c>
      <c r="D327" s="3">
        <v>3</v>
      </c>
      <c r="E327" s="3">
        <v>6</v>
      </c>
      <c r="F327" s="3">
        <v>1</v>
      </c>
      <c r="G327" s="3" t="s">
        <v>358</v>
      </c>
      <c r="H327" s="13">
        <v>69</v>
      </c>
      <c r="I327" s="13" t="s">
        <v>116</v>
      </c>
      <c r="J327" s="5" t="s">
        <v>328</v>
      </c>
      <c r="K327" s="1" t="str">
        <f t="shared" si="25"/>
        <v>INSERT INTO schema_db.exercises_answers (id_exercises_results,id_exercises,id_users,id_simulators,description,log_time,type,observations) VALUES(24,3,6,1,'3w_paso3w',69,'Error','Preguntas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8" spans="1:11" x14ac:dyDescent="0.25">
      <c r="A328" s="1">
        <f t="shared" si="24"/>
        <v>7</v>
      </c>
      <c r="B328" s="5"/>
      <c r="C328" s="3">
        <v>10</v>
      </c>
      <c r="D328" s="3">
        <v>4</v>
      </c>
      <c r="E328" s="3">
        <v>4</v>
      </c>
      <c r="F328" s="3">
        <v>2</v>
      </c>
      <c r="G328" s="3" t="s">
        <v>359</v>
      </c>
      <c r="H328" s="13">
        <v>70</v>
      </c>
      <c r="I328" s="13" t="s">
        <v>325</v>
      </c>
      <c r="J328" s="5"/>
      <c r="K328" s="1" t="str">
        <f t="shared" si="25"/>
        <v>INSERT INTO schema_db.exercises_answers (id_exercises_results,id_exercises,id_users,id_simulators,description,log_time,type,observations) VALUES(10,4,4,2,'4z_paso4z',70,'Paso realizado correctamente','');</v>
      </c>
    </row>
    <row r="329" spans="1:11" x14ac:dyDescent="0.25">
      <c r="A329" s="1">
        <f t="shared" si="24"/>
        <v>7</v>
      </c>
      <c r="B329" s="5"/>
      <c r="C329" s="3">
        <v>10</v>
      </c>
      <c r="D329" s="3">
        <v>4</v>
      </c>
      <c r="E329" s="3">
        <v>4</v>
      </c>
      <c r="F329" s="3">
        <v>2</v>
      </c>
      <c r="G329" s="3" t="s">
        <v>360</v>
      </c>
      <c r="H329" s="13">
        <v>71</v>
      </c>
      <c r="I329" s="3" t="s">
        <v>116</v>
      </c>
      <c r="J329" s="5" t="s">
        <v>326</v>
      </c>
      <c r="K329" s="1" t="str">
        <f t="shared" si="25"/>
        <v>INSERT INTO schema_db.exercises_answers (id_exercises_results,id_exercises,id_users,id_simulators,description,log_time,type,observations) VALUES(10,4,4,2,'4y_paso4y',71,'Error','\nFaltó seleccionar:\nContraste, Jeringa, Algodon, Adhesivo, Descartador, Llave de 3 vías, Solucion, Difenhidramina, Guía\n\nSe requería el cateter de 22G');</v>
      </c>
    </row>
    <row r="330" spans="1:11" x14ac:dyDescent="0.25">
      <c r="A330" s="1">
        <f t="shared" si="24"/>
        <v>8</v>
      </c>
      <c r="B330" s="5"/>
      <c r="C330" s="3">
        <v>11</v>
      </c>
      <c r="D330" s="3">
        <v>4</v>
      </c>
      <c r="E330" s="3">
        <v>5</v>
      </c>
      <c r="F330" s="3">
        <v>2</v>
      </c>
      <c r="G330" s="3" t="s">
        <v>359</v>
      </c>
      <c r="H330" s="13">
        <v>72</v>
      </c>
      <c r="I330" s="3" t="s">
        <v>116</v>
      </c>
      <c r="J330" s="5" t="s">
        <v>327</v>
      </c>
      <c r="K330" s="1" t="str">
        <f t="shared" si="25"/>
        <v>INSERT INTO schema_db.exercises_answers (id_exercises_results,id_exercises,id_users,id_simulators,description,log_time,type,observations) VALUES(11,4,5,2,'4z_paso4z',72,'Error','Es necesario examinar la bomba en estudios con contraste');</v>
      </c>
    </row>
    <row r="331" spans="1:11" x14ac:dyDescent="0.25">
      <c r="A331" s="1">
        <f t="shared" si="24"/>
        <v>8</v>
      </c>
      <c r="B331" s="5"/>
      <c r="C331" s="3">
        <v>11</v>
      </c>
      <c r="D331" s="3">
        <v>4</v>
      </c>
      <c r="E331" s="3">
        <v>5</v>
      </c>
      <c r="F331" s="3">
        <v>2</v>
      </c>
      <c r="G331" s="3" t="s">
        <v>360</v>
      </c>
      <c r="H331" s="13">
        <v>73</v>
      </c>
      <c r="I331" s="13" t="s">
        <v>325</v>
      </c>
      <c r="J331" s="5"/>
      <c r="K331" s="1" t="str">
        <f t="shared" si="25"/>
        <v>INSERT INTO schema_db.exercises_answers (id_exercises_results,id_exercises,id_users,id_simulators,description,log_time,type,observations) VALUES(11,4,5,2,'4y_paso4y',73,'Paso realizado correctamente','');</v>
      </c>
    </row>
    <row r="332" spans="1:11" x14ac:dyDescent="0.25">
      <c r="A332" s="1">
        <f t="shared" si="24"/>
        <v>9</v>
      </c>
      <c r="B332" s="5"/>
      <c r="C332" s="3">
        <v>12</v>
      </c>
      <c r="D332" s="3">
        <v>4</v>
      </c>
      <c r="E332" s="3">
        <v>6</v>
      </c>
      <c r="F332" s="3">
        <v>2</v>
      </c>
      <c r="G332" s="3" t="s">
        <v>359</v>
      </c>
      <c r="H332" s="13">
        <v>74</v>
      </c>
      <c r="I332" s="13" t="s">
        <v>116</v>
      </c>
      <c r="J332" s="5" t="s">
        <v>328</v>
      </c>
      <c r="K332" s="1" t="str">
        <f t="shared" si="25"/>
        <v>INSERT INTO schema_db.exercises_answers (id_exercises_results,id_exercises,id_users,id_simulators,description,log_time,type,observations) VALUES(12,4,6,2,'4z_paso4z',74,'Error','Preguntas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3" spans="1:11" x14ac:dyDescent="0.25">
      <c r="A333" s="1">
        <f t="shared" ref="A333:A363" si="26">+E333+3</f>
        <v>9</v>
      </c>
      <c r="B333" s="5"/>
      <c r="C333" s="3">
        <v>12</v>
      </c>
      <c r="D333" s="3">
        <v>4</v>
      </c>
      <c r="E333" s="3">
        <v>6</v>
      </c>
      <c r="F333" s="3">
        <v>2</v>
      </c>
      <c r="G333" s="3" t="s">
        <v>360</v>
      </c>
      <c r="H333" s="13">
        <v>75</v>
      </c>
      <c r="I333" s="13" t="s">
        <v>325</v>
      </c>
      <c r="J333" s="5"/>
      <c r="K333" s="1" t="str">
        <f t="shared" ref="K333:K363" si="27">+"INSERT INTO schema_db." &amp; $B$266 &amp; " " &amp;$K$267&amp;" VALUES("&amp;C333&amp;","&amp;D333&amp;","&amp;E333&amp;","&amp;F333&amp;",'"&amp;G333&amp;"',"&amp;H333&amp;",'"&amp;I333&amp;"','"&amp;J333&amp;"');"</f>
        <v>INSERT INTO schema_db.exercises_answers (id_exercises_results,id_exercises,id_users,id_simulators,description,log_time,type,observations) VALUES(12,4,6,2,'4y_paso4y',75,'Paso realizado correctamente','');</v>
      </c>
    </row>
    <row r="334" spans="1:11" x14ac:dyDescent="0.25">
      <c r="A334" s="1">
        <f t="shared" si="26"/>
        <v>7</v>
      </c>
      <c r="B334" s="5"/>
      <c r="C334" s="3">
        <v>25</v>
      </c>
      <c r="D334" s="3">
        <v>4</v>
      </c>
      <c r="E334" s="3">
        <v>4</v>
      </c>
      <c r="F334" s="3">
        <v>2</v>
      </c>
      <c r="G334" s="3" t="s">
        <v>359</v>
      </c>
      <c r="H334" s="13">
        <v>76</v>
      </c>
      <c r="I334" s="13" t="s">
        <v>325</v>
      </c>
      <c r="J334" s="5"/>
      <c r="K334" s="1" t="str">
        <f t="shared" si="27"/>
        <v>INSERT INTO schema_db.exercises_answers (id_exercises_results,id_exercises,id_users,id_simulators,description,log_time,type,observations) VALUES(25,4,4,2,'4z_paso4z',76,'Paso realizado correctamente','');</v>
      </c>
    </row>
    <row r="335" spans="1:11" x14ac:dyDescent="0.25">
      <c r="A335" s="1">
        <f t="shared" si="26"/>
        <v>7</v>
      </c>
      <c r="B335" s="5"/>
      <c r="C335" s="3">
        <v>25</v>
      </c>
      <c r="D335" s="3">
        <v>4</v>
      </c>
      <c r="E335" s="3">
        <v>4</v>
      </c>
      <c r="F335" s="3">
        <v>2</v>
      </c>
      <c r="G335" s="3" t="s">
        <v>360</v>
      </c>
      <c r="H335" s="13">
        <v>77</v>
      </c>
      <c r="I335" s="13" t="s">
        <v>325</v>
      </c>
      <c r="J335" s="5"/>
      <c r="K335" s="1" t="str">
        <f t="shared" si="27"/>
        <v>INSERT INTO schema_db.exercises_answers (id_exercises_results,id_exercises,id_users,id_simulators,description,log_time,type,observations) VALUES(25,4,4,2,'4y_paso4y',77,'Paso realizado correctamente','');</v>
      </c>
    </row>
    <row r="336" spans="1:11" x14ac:dyDescent="0.25">
      <c r="A336" s="1">
        <f t="shared" si="26"/>
        <v>8</v>
      </c>
      <c r="B336" s="5"/>
      <c r="C336" s="3">
        <v>26</v>
      </c>
      <c r="D336" s="3">
        <v>4</v>
      </c>
      <c r="E336" s="3">
        <v>5</v>
      </c>
      <c r="F336" s="3">
        <v>2</v>
      </c>
      <c r="G336" s="3" t="s">
        <v>359</v>
      </c>
      <c r="H336" s="13">
        <v>78</v>
      </c>
      <c r="I336" s="13" t="s">
        <v>116</v>
      </c>
      <c r="J336" s="5" t="s">
        <v>326</v>
      </c>
      <c r="K336" s="1" t="str">
        <f t="shared" si="27"/>
        <v>INSERT INTO schema_db.exercises_answers (id_exercises_results,id_exercises,id_users,id_simulators,description,log_time,type,observations) VALUES(26,4,5,2,'4z_paso4z',78,'Error','\nFaltó seleccionar:\nContraste, Jeringa, Algodon, Adhesivo, Descartador, Llave de 3 vías, Solucion, Difenhidramina, Guía\n\nSe requería el cateter de 22G');</v>
      </c>
    </row>
    <row r="337" spans="1:11" x14ac:dyDescent="0.25">
      <c r="A337" s="1">
        <f t="shared" si="26"/>
        <v>8</v>
      </c>
      <c r="B337" s="5"/>
      <c r="C337" s="3">
        <v>26</v>
      </c>
      <c r="D337" s="3">
        <v>4</v>
      </c>
      <c r="E337" s="3">
        <v>5</v>
      </c>
      <c r="F337" s="3">
        <v>2</v>
      </c>
      <c r="G337" s="3" t="s">
        <v>360</v>
      </c>
      <c r="H337" s="13">
        <v>79</v>
      </c>
      <c r="I337" s="13" t="s">
        <v>325</v>
      </c>
      <c r="J337" s="5"/>
      <c r="K337" s="1" t="str">
        <f t="shared" si="27"/>
        <v>INSERT INTO schema_db.exercises_answers (id_exercises_results,id_exercises,id_users,id_simulators,description,log_time,type,observations) VALUES(26,4,5,2,'4y_paso4y',79,'Paso realizado correctamente','');</v>
      </c>
    </row>
    <row r="338" spans="1:11" x14ac:dyDescent="0.25">
      <c r="A338" s="1">
        <f t="shared" si="26"/>
        <v>9</v>
      </c>
      <c r="B338" s="5"/>
      <c r="C338" s="3">
        <v>27</v>
      </c>
      <c r="D338" s="3">
        <v>4</v>
      </c>
      <c r="E338" s="3">
        <v>6</v>
      </c>
      <c r="F338" s="3">
        <v>2</v>
      </c>
      <c r="G338" s="3" t="s">
        <v>359</v>
      </c>
      <c r="H338" s="13">
        <v>80</v>
      </c>
      <c r="I338" s="3" t="s">
        <v>116</v>
      </c>
      <c r="J338" s="5" t="s">
        <v>328</v>
      </c>
      <c r="K338" s="1" t="str">
        <f t="shared" si="27"/>
        <v>INSERT INTO schema_db.exercises_answers (id_exercises_results,id_exercises,id_users,id_simulators,description,log_time,type,observations) VALUES(27,4,6,2,'4z_paso4z',80,'Error','Preguntas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9" spans="1:11" x14ac:dyDescent="0.25">
      <c r="A339" s="1">
        <f t="shared" si="26"/>
        <v>9</v>
      </c>
      <c r="B339" s="5"/>
      <c r="C339" s="3">
        <v>27</v>
      </c>
      <c r="D339" s="3">
        <v>4</v>
      </c>
      <c r="E339" s="3">
        <v>6</v>
      </c>
      <c r="F339" s="3">
        <v>2</v>
      </c>
      <c r="G339" s="3" t="s">
        <v>360</v>
      </c>
      <c r="H339" s="13">
        <v>81</v>
      </c>
      <c r="I339" s="3" t="s">
        <v>116</v>
      </c>
      <c r="J339" s="5" t="s">
        <v>326</v>
      </c>
      <c r="K339" s="1" t="str">
        <f t="shared" si="27"/>
        <v>INSERT INTO schema_db.exercises_answers (id_exercises_results,id_exercises,id_users,id_simulators,description,log_time,type,observations) VALUES(27,4,6,2,'4y_paso4y',81,'Error','\nFaltó seleccionar:\nContraste, Jeringa, Algodon, Adhesivo, Descartador, Llave de 3 vías, Solucion, Difenhidramina, Guía\n\nSe requería el cateter de 22G');</v>
      </c>
    </row>
    <row r="340" spans="1:11" x14ac:dyDescent="0.25">
      <c r="A340" s="1">
        <f t="shared" si="26"/>
        <v>7</v>
      </c>
      <c r="B340" s="5"/>
      <c r="C340" s="3">
        <v>13</v>
      </c>
      <c r="D340" s="3">
        <v>5</v>
      </c>
      <c r="E340" s="3">
        <v>4</v>
      </c>
      <c r="F340" s="3">
        <v>2</v>
      </c>
      <c r="G340" s="3" t="s">
        <v>361</v>
      </c>
      <c r="H340" s="13">
        <v>82</v>
      </c>
      <c r="I340" s="13" t="s">
        <v>325</v>
      </c>
      <c r="J340" s="5"/>
      <c r="K340" s="1" t="str">
        <f t="shared" si="27"/>
        <v>INSERT INTO schema_db.exercises_answers (id_exercises_results,id_exercises,id_users,id_simulators,description,log_time,type,observations) VALUES(13,5,4,2,'5g_paso5g',82,'Paso realizado correctamente','');</v>
      </c>
    </row>
    <row r="341" spans="1:11" x14ac:dyDescent="0.25">
      <c r="A341" s="1">
        <f t="shared" si="26"/>
        <v>7</v>
      </c>
      <c r="B341" s="5"/>
      <c r="C341" s="3">
        <v>13</v>
      </c>
      <c r="D341" s="3">
        <v>5</v>
      </c>
      <c r="E341" s="3">
        <v>4</v>
      </c>
      <c r="F341" s="3">
        <v>2</v>
      </c>
      <c r="G341" s="3" t="s">
        <v>362</v>
      </c>
      <c r="H341" s="13">
        <v>83</v>
      </c>
      <c r="I341" s="13" t="s">
        <v>116</v>
      </c>
      <c r="J341" s="5" t="s">
        <v>328</v>
      </c>
      <c r="K341" s="1" t="str">
        <f t="shared" si="27"/>
        <v>INSERT INTO schema_db.exercises_answers (id_exercises_results,id_exercises,id_users,id_simulators,description,log_time,type,observations) VALUES(13,5,4,2,'5t_paso5t',83,'Error','Preguntas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42" spans="1:11" x14ac:dyDescent="0.25">
      <c r="A342" s="1">
        <f t="shared" si="26"/>
        <v>7</v>
      </c>
      <c r="B342" s="5"/>
      <c r="C342" s="3">
        <v>13</v>
      </c>
      <c r="D342" s="3">
        <v>5</v>
      </c>
      <c r="E342" s="3">
        <v>4</v>
      </c>
      <c r="F342" s="3">
        <v>2</v>
      </c>
      <c r="G342" s="3" t="s">
        <v>363</v>
      </c>
      <c r="H342" s="13">
        <v>84</v>
      </c>
      <c r="I342" s="13" t="s">
        <v>325</v>
      </c>
      <c r="J342" s="5"/>
      <c r="K342" s="1" t="str">
        <f t="shared" si="27"/>
        <v>INSERT INTO schema_db.exercises_answers (id_exercises_results,id_exercises,id_users,id_simulators,description,log_time,type,observations) VALUES(13,5,4,2,'5u_paso5u',84,'Paso realizado correctamente','');</v>
      </c>
    </row>
    <row r="343" spans="1:11" x14ac:dyDescent="0.25">
      <c r="A343" s="1">
        <f t="shared" si="26"/>
        <v>7</v>
      </c>
      <c r="B343" s="5"/>
      <c r="C343" s="3">
        <v>13</v>
      </c>
      <c r="D343" s="3">
        <v>5</v>
      </c>
      <c r="E343" s="3">
        <v>4</v>
      </c>
      <c r="F343" s="3">
        <v>2</v>
      </c>
      <c r="G343" s="3" t="s">
        <v>364</v>
      </c>
      <c r="H343" s="13">
        <v>85</v>
      </c>
      <c r="I343" s="13" t="s">
        <v>325</v>
      </c>
      <c r="J343" s="5"/>
      <c r="K343" s="1" t="str">
        <f t="shared" si="27"/>
        <v>INSERT INTO schema_db.exercises_answers (id_exercises_results,id_exercises,id_users,id_simulators,description,log_time,type,observations) VALUES(13,5,4,2,'5p_paso5p',85,'Paso realizado correctamente','');</v>
      </c>
    </row>
    <row r="344" spans="1:11" x14ac:dyDescent="0.25">
      <c r="A344" s="1">
        <f t="shared" si="26"/>
        <v>8</v>
      </c>
      <c r="B344" s="5"/>
      <c r="C344" s="3">
        <v>14</v>
      </c>
      <c r="D344" s="3">
        <v>5</v>
      </c>
      <c r="E344" s="3">
        <v>5</v>
      </c>
      <c r="F344" s="3">
        <v>2</v>
      </c>
      <c r="G344" s="3" t="s">
        <v>361</v>
      </c>
      <c r="H344" s="13">
        <v>86</v>
      </c>
      <c r="I344" s="13" t="s">
        <v>325</v>
      </c>
      <c r="J344" s="5"/>
      <c r="K344" s="1" t="str">
        <f t="shared" si="27"/>
        <v>INSERT INTO schema_db.exercises_answers (id_exercises_results,id_exercises,id_users,id_simulators,description,log_time,type,observations) VALUES(14,5,5,2,'5g_paso5g',86,'Paso realizado correctamente','');</v>
      </c>
    </row>
    <row r="345" spans="1:11" x14ac:dyDescent="0.25">
      <c r="A345" s="1">
        <f t="shared" si="26"/>
        <v>8</v>
      </c>
      <c r="B345" s="5"/>
      <c r="C345" s="3">
        <v>14</v>
      </c>
      <c r="D345" s="3">
        <v>5</v>
      </c>
      <c r="E345" s="3">
        <v>5</v>
      </c>
      <c r="F345" s="3">
        <v>2</v>
      </c>
      <c r="G345" s="3" t="s">
        <v>362</v>
      </c>
      <c r="H345" s="13">
        <v>87</v>
      </c>
      <c r="I345" s="13" t="s">
        <v>116</v>
      </c>
      <c r="J345" s="5" t="s">
        <v>326</v>
      </c>
      <c r="K345" s="1" t="str">
        <f t="shared" si="27"/>
        <v>INSERT INTO schema_db.exercises_answers (id_exercises_results,id_exercises,id_users,id_simulators,description,log_time,type,observations) VALUES(14,5,5,2,'5t_paso5t',87,'Error','\nFaltó seleccionar:\nContraste, Jeringa, Algodon, Adhesivo, Descartador, Llave de 3 vías, Solucion, Difenhidramina, Guía\n\nSe requería el cateter de 22G');</v>
      </c>
    </row>
    <row r="346" spans="1:11" x14ac:dyDescent="0.25">
      <c r="A346" s="1">
        <f t="shared" si="26"/>
        <v>8</v>
      </c>
      <c r="B346" s="5"/>
      <c r="C346" s="3">
        <v>14</v>
      </c>
      <c r="D346" s="3">
        <v>5</v>
      </c>
      <c r="E346" s="13">
        <v>5</v>
      </c>
      <c r="F346" s="3">
        <v>2</v>
      </c>
      <c r="G346" s="3" t="s">
        <v>363</v>
      </c>
      <c r="H346" s="13">
        <v>88</v>
      </c>
      <c r="I346" s="13" t="s">
        <v>116</v>
      </c>
      <c r="J346" s="5" t="s">
        <v>328</v>
      </c>
      <c r="K346" s="1" t="str">
        <f t="shared" si="27"/>
        <v>INSERT INTO schema_db.exercises_answers (id_exercises_results,id_exercises,id_users,id_simulators,description,log_time,type,observations) VALUES(14,5,5,2,'5u_paso5u',88,'Error','Preguntas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47" spans="1:11" x14ac:dyDescent="0.25">
      <c r="A347" s="1">
        <f t="shared" si="26"/>
        <v>8</v>
      </c>
      <c r="B347" s="5"/>
      <c r="C347" s="3">
        <v>14</v>
      </c>
      <c r="D347" s="3">
        <v>5</v>
      </c>
      <c r="E347" s="13">
        <v>5</v>
      </c>
      <c r="F347" s="3">
        <v>2</v>
      </c>
      <c r="G347" s="3" t="s">
        <v>364</v>
      </c>
      <c r="H347" s="13">
        <v>89</v>
      </c>
      <c r="I347" s="13" t="s">
        <v>325</v>
      </c>
      <c r="J347" s="5"/>
      <c r="K347" s="1" t="str">
        <f t="shared" si="27"/>
        <v>INSERT INTO schema_db.exercises_answers (id_exercises_results,id_exercises,id_users,id_simulators,description,log_time,type,observations) VALUES(14,5,5,2,'5p_paso5p',89,'Paso realizado correctamente','');</v>
      </c>
    </row>
    <row r="348" spans="1:11" x14ac:dyDescent="0.25">
      <c r="A348" s="1">
        <f t="shared" si="26"/>
        <v>9</v>
      </c>
      <c r="B348" s="5"/>
      <c r="C348" s="3">
        <v>15</v>
      </c>
      <c r="D348" s="3">
        <v>5</v>
      </c>
      <c r="E348" s="13">
        <v>6</v>
      </c>
      <c r="F348" s="3">
        <v>2</v>
      </c>
      <c r="G348" s="3" t="s">
        <v>361</v>
      </c>
      <c r="H348" s="13">
        <v>90</v>
      </c>
      <c r="I348" s="13" t="s">
        <v>325</v>
      </c>
      <c r="J348" s="5"/>
      <c r="K348" s="1" t="str">
        <f t="shared" si="27"/>
        <v>INSERT INTO schema_db.exercises_answers (id_exercises_results,id_exercises,id_users,id_simulators,description,log_time,type,observations) VALUES(15,5,6,2,'5g_paso5g',90,'Paso realizado correctamente','');</v>
      </c>
    </row>
    <row r="349" spans="1:11" x14ac:dyDescent="0.25">
      <c r="A349" s="1">
        <f t="shared" si="26"/>
        <v>9</v>
      </c>
      <c r="B349" s="5"/>
      <c r="C349" s="3">
        <v>15</v>
      </c>
      <c r="D349" s="3">
        <v>5</v>
      </c>
      <c r="E349" s="13">
        <v>6</v>
      </c>
      <c r="F349" s="3">
        <v>2</v>
      </c>
      <c r="G349" s="3" t="s">
        <v>362</v>
      </c>
      <c r="H349" s="13">
        <v>91</v>
      </c>
      <c r="I349" s="13" t="s">
        <v>325</v>
      </c>
      <c r="J349" s="5"/>
      <c r="K349" s="1" t="str">
        <f t="shared" si="27"/>
        <v>INSERT INTO schema_db.exercises_answers (id_exercises_results,id_exercises,id_users,id_simulators,description,log_time,type,observations) VALUES(15,5,6,2,'5t_paso5t',91,'Paso realizado correctamente','');</v>
      </c>
    </row>
    <row r="350" spans="1:11" x14ac:dyDescent="0.25">
      <c r="A350" s="1">
        <f t="shared" si="26"/>
        <v>9</v>
      </c>
      <c r="B350" s="5"/>
      <c r="C350" s="3">
        <v>15</v>
      </c>
      <c r="D350" s="3">
        <v>5</v>
      </c>
      <c r="E350" s="13">
        <v>6</v>
      </c>
      <c r="F350" s="3">
        <v>2</v>
      </c>
      <c r="G350" s="3" t="s">
        <v>363</v>
      </c>
      <c r="H350" s="13">
        <v>92</v>
      </c>
      <c r="I350" s="13" t="s">
        <v>116</v>
      </c>
      <c r="J350" s="5" t="s">
        <v>326</v>
      </c>
      <c r="K350" s="1" t="str">
        <f t="shared" si="27"/>
        <v>INSERT INTO schema_db.exercises_answers (id_exercises_results,id_exercises,id_users,id_simulators,description,log_time,type,observations) VALUES(15,5,6,2,'5u_paso5u',92,'Error','\nFaltó seleccionar:\nContraste, Jeringa, Algodon, Adhesivo, Descartador, Llave de 3 vías, Solucion, Difenhidramina, Guía\n\nSe requería el cateter de 22G');</v>
      </c>
    </row>
    <row r="351" spans="1:11" x14ac:dyDescent="0.25">
      <c r="A351" s="1">
        <f t="shared" si="26"/>
        <v>9</v>
      </c>
      <c r="B351" s="5"/>
      <c r="C351" s="3">
        <v>15</v>
      </c>
      <c r="D351" s="3">
        <v>5</v>
      </c>
      <c r="E351" s="13">
        <v>6</v>
      </c>
      <c r="F351" s="3">
        <v>2</v>
      </c>
      <c r="G351" s="3" t="s">
        <v>364</v>
      </c>
      <c r="H351" s="13">
        <v>93</v>
      </c>
      <c r="I351" s="13" t="s">
        <v>116</v>
      </c>
      <c r="J351" s="5" t="s">
        <v>328</v>
      </c>
      <c r="K351" s="1" t="str">
        <f t="shared" si="27"/>
        <v>INSERT INTO schema_db.exercises_answers (id_exercises_results,id_exercises,id_users,id_simulators,description,log_time,type,observations) VALUES(15,5,6,2,'5p_paso5p',93,'Error','Preguntas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52" spans="1:11" x14ac:dyDescent="0.25">
      <c r="A352" s="1">
        <f t="shared" si="26"/>
        <v>7</v>
      </c>
      <c r="B352" s="5"/>
      <c r="C352" s="3">
        <v>28</v>
      </c>
      <c r="D352" s="3">
        <v>5</v>
      </c>
      <c r="E352" s="3">
        <v>4</v>
      </c>
      <c r="F352" s="3">
        <v>2</v>
      </c>
      <c r="G352" s="3" t="s">
        <v>361</v>
      </c>
      <c r="H352" s="13">
        <v>94</v>
      </c>
      <c r="I352" s="13" t="s">
        <v>325</v>
      </c>
      <c r="J352" s="5"/>
      <c r="K352" s="1" t="str">
        <f t="shared" si="27"/>
        <v>INSERT INTO schema_db.exercises_answers (id_exercises_results,id_exercises,id_users,id_simulators,description,log_time,type,observations) VALUES(28,5,4,2,'5g_paso5g',94,'Paso realizado correctamente','');</v>
      </c>
    </row>
    <row r="353" spans="1:11" x14ac:dyDescent="0.25">
      <c r="A353" s="1">
        <f t="shared" si="26"/>
        <v>7</v>
      </c>
      <c r="B353" s="5"/>
      <c r="C353" s="3">
        <v>28</v>
      </c>
      <c r="D353" s="3">
        <v>5</v>
      </c>
      <c r="E353" s="3">
        <v>4</v>
      </c>
      <c r="F353" s="3">
        <v>2</v>
      </c>
      <c r="G353" s="3" t="s">
        <v>362</v>
      </c>
      <c r="H353" s="13">
        <v>95</v>
      </c>
      <c r="I353" s="13" t="s">
        <v>325</v>
      </c>
      <c r="J353" s="5"/>
      <c r="K353" s="1" t="str">
        <f t="shared" si="27"/>
        <v>INSERT INTO schema_db.exercises_answers (id_exercises_results,id_exercises,id_users,id_simulators,description,log_time,type,observations) VALUES(28,5,4,2,'5t_paso5t',95,'Paso realizado correctamente','');</v>
      </c>
    </row>
    <row r="354" spans="1:11" x14ac:dyDescent="0.25">
      <c r="A354" s="1">
        <f t="shared" si="26"/>
        <v>7</v>
      </c>
      <c r="B354" s="5"/>
      <c r="C354" s="3">
        <v>28</v>
      </c>
      <c r="D354" s="3">
        <v>5</v>
      </c>
      <c r="E354" s="3">
        <v>4</v>
      </c>
      <c r="F354" s="3">
        <v>2</v>
      </c>
      <c r="G354" s="3" t="s">
        <v>363</v>
      </c>
      <c r="H354" s="13">
        <v>96</v>
      </c>
      <c r="I354" s="13" t="s">
        <v>325</v>
      </c>
      <c r="J354" s="5"/>
      <c r="K354" s="1" t="str">
        <f t="shared" si="27"/>
        <v>INSERT INTO schema_db.exercises_answers (id_exercises_results,id_exercises,id_users,id_simulators,description,log_time,type,observations) VALUES(28,5,4,2,'5u_paso5u',96,'Paso realizado correctamente','');</v>
      </c>
    </row>
    <row r="355" spans="1:11" x14ac:dyDescent="0.25">
      <c r="A355" s="1">
        <f t="shared" si="26"/>
        <v>7</v>
      </c>
      <c r="B355" s="5"/>
      <c r="C355" s="3">
        <v>28</v>
      </c>
      <c r="D355" s="3">
        <v>5</v>
      </c>
      <c r="E355" s="3">
        <v>4</v>
      </c>
      <c r="F355" s="3">
        <v>2</v>
      </c>
      <c r="G355" s="3" t="s">
        <v>364</v>
      </c>
      <c r="H355" s="13">
        <v>97</v>
      </c>
      <c r="I355" s="13" t="s">
        <v>116</v>
      </c>
      <c r="J355" s="5" t="s">
        <v>326</v>
      </c>
      <c r="K355" s="1" t="str">
        <f t="shared" si="27"/>
        <v>INSERT INTO schema_db.exercises_answers (id_exercises_results,id_exercises,id_users,id_simulators,description,log_time,type,observations) VALUES(28,5,4,2,'5p_paso5p',97,'Error','\nFaltó seleccionar:\nContraste, Jeringa, Algodon, Adhesivo, Descartador, Llave de 3 vías, Solucion, Difenhidramina, Guía\n\nSe requería el cateter de 22G');</v>
      </c>
    </row>
    <row r="356" spans="1:11" x14ac:dyDescent="0.25">
      <c r="A356" s="1">
        <f t="shared" si="26"/>
        <v>8</v>
      </c>
      <c r="B356" s="5"/>
      <c r="C356" s="3">
        <v>29</v>
      </c>
      <c r="D356" s="3">
        <v>5</v>
      </c>
      <c r="E356" s="3">
        <v>5</v>
      </c>
      <c r="F356" s="3">
        <v>2</v>
      </c>
      <c r="G356" s="3" t="s">
        <v>361</v>
      </c>
      <c r="H356" s="13">
        <v>98</v>
      </c>
      <c r="I356" s="13" t="s">
        <v>116</v>
      </c>
      <c r="J356" s="5" t="s">
        <v>328</v>
      </c>
      <c r="K356" s="1" t="str">
        <f t="shared" si="27"/>
        <v>INSERT INTO schema_db.exercises_answers (id_exercises_results,id_exercises,id_users,id_simulators,description,log_time,type,observations) VALUES(29,5,5,2,'5g_paso5g',98,'Error','Preguntas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57" spans="1:11" x14ac:dyDescent="0.25">
      <c r="A357" s="1">
        <f t="shared" si="26"/>
        <v>8</v>
      </c>
      <c r="B357" s="5"/>
      <c r="C357" s="3">
        <v>29</v>
      </c>
      <c r="D357" s="3">
        <v>5</v>
      </c>
      <c r="E357" s="3">
        <v>5</v>
      </c>
      <c r="F357" s="3">
        <v>2</v>
      </c>
      <c r="G357" s="3" t="s">
        <v>362</v>
      </c>
      <c r="H357" s="13">
        <v>99</v>
      </c>
      <c r="I357" s="13" t="s">
        <v>325</v>
      </c>
      <c r="J357" s="5"/>
      <c r="K357" s="1" t="str">
        <f t="shared" si="27"/>
        <v>INSERT INTO schema_db.exercises_answers (id_exercises_results,id_exercises,id_users,id_simulators,description,log_time,type,observations) VALUES(29,5,5,2,'5t_paso5t',99,'Paso realizado correctamente','');</v>
      </c>
    </row>
    <row r="358" spans="1:11" x14ac:dyDescent="0.25">
      <c r="A358" s="1">
        <f t="shared" si="26"/>
        <v>8</v>
      </c>
      <c r="B358" s="5"/>
      <c r="C358" s="3">
        <v>29</v>
      </c>
      <c r="D358" s="3">
        <v>5</v>
      </c>
      <c r="E358" s="13">
        <v>5</v>
      </c>
      <c r="F358" s="3">
        <v>2</v>
      </c>
      <c r="G358" s="3" t="s">
        <v>363</v>
      </c>
      <c r="H358" s="13">
        <v>100</v>
      </c>
      <c r="I358" s="13" t="s">
        <v>325</v>
      </c>
      <c r="J358" s="5"/>
      <c r="K358" s="1" t="str">
        <f t="shared" si="27"/>
        <v>INSERT INTO schema_db.exercises_answers (id_exercises_results,id_exercises,id_users,id_simulators,description,log_time,type,observations) VALUES(29,5,5,2,'5u_paso5u',100,'Paso realizado correctamente','');</v>
      </c>
    </row>
    <row r="359" spans="1:11" x14ac:dyDescent="0.25">
      <c r="A359" s="1">
        <f t="shared" si="26"/>
        <v>8</v>
      </c>
      <c r="B359" s="5"/>
      <c r="C359" s="3">
        <v>29</v>
      </c>
      <c r="D359" s="3">
        <v>5</v>
      </c>
      <c r="E359" s="13">
        <v>5</v>
      </c>
      <c r="F359" s="3">
        <v>2</v>
      </c>
      <c r="G359" s="3" t="s">
        <v>364</v>
      </c>
      <c r="H359" s="13">
        <v>101</v>
      </c>
      <c r="I359" s="13" t="s">
        <v>325</v>
      </c>
      <c r="J359" s="5"/>
      <c r="K359" s="1" t="str">
        <f t="shared" si="27"/>
        <v>INSERT INTO schema_db.exercises_answers (id_exercises_results,id_exercises,id_users,id_simulators,description,log_time,type,observations) VALUES(29,5,5,2,'5p_paso5p',101,'Paso realizado correctamente','');</v>
      </c>
    </row>
    <row r="360" spans="1:11" x14ac:dyDescent="0.25">
      <c r="A360" s="1">
        <f t="shared" si="26"/>
        <v>9</v>
      </c>
      <c r="B360" s="5"/>
      <c r="C360" s="3">
        <v>30</v>
      </c>
      <c r="D360" s="3">
        <v>5</v>
      </c>
      <c r="E360" s="13">
        <v>6</v>
      </c>
      <c r="F360" s="3">
        <v>2</v>
      </c>
      <c r="G360" s="3" t="s">
        <v>361</v>
      </c>
      <c r="H360" s="13">
        <v>102</v>
      </c>
      <c r="I360" s="13" t="s">
        <v>116</v>
      </c>
      <c r="J360" s="5" t="s">
        <v>326</v>
      </c>
      <c r="K360" s="1" t="str">
        <f t="shared" si="27"/>
        <v>INSERT INTO schema_db.exercises_answers (id_exercises_results,id_exercises,id_users,id_simulators,description,log_time,type,observations) VALUES(30,5,6,2,'5g_paso5g',102,'Error','\nFaltó seleccionar:\nContraste, Jeringa, Algodon, Adhesivo, Descartador, Llave de 3 vías, Solucion, Difenhidramina, Guía\n\nSe requería el cateter de 22G');</v>
      </c>
    </row>
    <row r="361" spans="1:11" x14ac:dyDescent="0.25">
      <c r="A361" s="1">
        <f t="shared" si="26"/>
        <v>9</v>
      </c>
      <c r="B361" s="5"/>
      <c r="C361" s="3">
        <v>30</v>
      </c>
      <c r="D361" s="3">
        <v>5</v>
      </c>
      <c r="E361" s="13">
        <v>6</v>
      </c>
      <c r="F361" s="3">
        <v>2</v>
      </c>
      <c r="G361" s="3" t="s">
        <v>362</v>
      </c>
      <c r="H361" s="13">
        <v>103</v>
      </c>
      <c r="I361" s="13" t="s">
        <v>116</v>
      </c>
      <c r="J361" s="5" t="s">
        <v>328</v>
      </c>
      <c r="K361" s="1" t="str">
        <f t="shared" si="27"/>
        <v>INSERT INTO schema_db.exercises_answers (id_exercises_results,id_exercises,id_users,id_simulators,description,log_time,type,observations) VALUES(30,5,6,2,'5t_paso5t',103,'Error','Preguntas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62" spans="1:11" x14ac:dyDescent="0.25">
      <c r="A362" s="1">
        <f t="shared" si="26"/>
        <v>9</v>
      </c>
      <c r="B362" s="5"/>
      <c r="C362" s="3">
        <v>30</v>
      </c>
      <c r="D362" s="3">
        <v>5</v>
      </c>
      <c r="E362" s="13">
        <v>6</v>
      </c>
      <c r="F362" s="3">
        <v>2</v>
      </c>
      <c r="G362" s="3" t="s">
        <v>363</v>
      </c>
      <c r="H362" s="13">
        <v>104</v>
      </c>
      <c r="I362" s="13" t="s">
        <v>325</v>
      </c>
      <c r="J362" s="5"/>
      <c r="K362" s="1" t="str">
        <f t="shared" si="27"/>
        <v>INSERT INTO schema_db.exercises_answers (id_exercises_results,id_exercises,id_users,id_simulators,description,log_time,type,observations) VALUES(30,5,6,2,'5u_paso5u',104,'Paso realizado correctamente','');</v>
      </c>
    </row>
    <row r="363" spans="1:11" x14ac:dyDescent="0.25">
      <c r="A363" s="1">
        <f t="shared" si="26"/>
        <v>9</v>
      </c>
      <c r="B363" s="5"/>
      <c r="C363" s="3">
        <v>30</v>
      </c>
      <c r="D363" s="3">
        <v>5</v>
      </c>
      <c r="E363" s="13">
        <v>6</v>
      </c>
      <c r="F363" s="3">
        <v>2</v>
      </c>
      <c r="G363" s="3" t="s">
        <v>364</v>
      </c>
      <c r="H363" s="13">
        <v>105</v>
      </c>
      <c r="I363" s="13" t="s">
        <v>325</v>
      </c>
      <c r="J363" s="5"/>
      <c r="K363" s="1" t="str">
        <f t="shared" si="27"/>
        <v>INSERT INTO schema_db.exercises_answers (id_exercises_results,id_exercises,id_users,id_simulators,description,log_time,type,observations) VALUES(30,5,6,2,'5p_paso5p',105,'Paso realizado correctamente','');</v>
      </c>
    </row>
    <row r="364" spans="1:11" x14ac:dyDescent="0.25">
      <c r="B364" s="5"/>
      <c r="C364" s="3"/>
      <c r="D364" s="3"/>
      <c r="E364" s="13"/>
      <c r="F364" s="3"/>
      <c r="G364" s="5"/>
      <c r="H364" s="13"/>
      <c r="I364" s="5"/>
    </row>
    <row r="365" spans="1:11" x14ac:dyDescent="0.25">
      <c r="B365" s="5"/>
      <c r="C365" s="3"/>
      <c r="D365" s="3"/>
      <c r="E365" s="13"/>
      <c r="F365" s="3"/>
      <c r="G365" s="5"/>
      <c r="H365" s="13"/>
      <c r="I365" s="5"/>
    </row>
    <row r="366" spans="1:11" x14ac:dyDescent="0.25">
      <c r="B366" s="5"/>
      <c r="C366" s="3"/>
      <c r="D366" s="3"/>
      <c r="E366" s="13"/>
      <c r="F366" s="3"/>
      <c r="G366" s="5"/>
    </row>
    <row r="367" spans="1:11" x14ac:dyDescent="0.25">
      <c r="B367" s="5"/>
      <c r="C367" s="3"/>
      <c r="D367" s="3"/>
      <c r="E367" s="13"/>
      <c r="F367" s="3"/>
      <c r="G367" s="5"/>
    </row>
    <row r="368" spans="1:11" x14ac:dyDescent="0.25">
      <c r="B368" s="5"/>
      <c r="C368" s="3"/>
      <c r="D368" s="3"/>
      <c r="E368" s="13"/>
      <c r="F368" s="3"/>
      <c r="G368" s="5"/>
    </row>
    <row r="369" spans="2:7" x14ac:dyDescent="0.25">
      <c r="B369" s="5"/>
      <c r="C369" s="3"/>
      <c r="D369" s="3"/>
      <c r="E369" s="13"/>
      <c r="F369" s="3"/>
      <c r="G369" s="5"/>
    </row>
    <row r="370" spans="2:7" x14ac:dyDescent="0.25">
      <c r="B370" s="5"/>
      <c r="C370" s="3"/>
      <c r="D370" s="3"/>
      <c r="E370" s="13"/>
      <c r="F370" s="3"/>
      <c r="G370" s="5"/>
    </row>
    <row r="371" spans="2:7" x14ac:dyDescent="0.25">
      <c r="B371" s="5"/>
      <c r="C371" s="3"/>
      <c r="D371" s="3"/>
      <c r="E371" s="13"/>
      <c r="F371" s="3"/>
      <c r="G371" s="5"/>
    </row>
    <row r="372" spans="2:7" x14ac:dyDescent="0.25">
      <c r="B372" s="5"/>
      <c r="C372" s="3"/>
      <c r="D372" s="3"/>
      <c r="E372" s="13"/>
      <c r="F372" s="3"/>
      <c r="G372" s="5"/>
    </row>
    <row r="373" spans="2:7" x14ac:dyDescent="0.25">
      <c r="B373" s="5"/>
      <c r="C373" s="3"/>
      <c r="D373" s="3"/>
      <c r="E373" s="13"/>
      <c r="F373" s="3"/>
      <c r="G373" s="5"/>
    </row>
    <row r="374" spans="2:7" x14ac:dyDescent="0.25">
      <c r="B374" s="5"/>
      <c r="C374" s="3"/>
      <c r="D374" s="3"/>
      <c r="E374" s="13"/>
      <c r="F374" s="3"/>
      <c r="G374" s="5"/>
    </row>
    <row r="375" spans="2:7" x14ac:dyDescent="0.25">
      <c r="B375" s="5"/>
      <c r="C375" s="3"/>
      <c r="D375" s="3"/>
      <c r="E375" s="13"/>
      <c r="F375" s="3"/>
      <c r="G375" s="5"/>
    </row>
    <row r="376" spans="2:7" x14ac:dyDescent="0.25">
      <c r="B376" s="5"/>
      <c r="C376" s="3"/>
      <c r="D376" s="3"/>
      <c r="E376" s="13"/>
      <c r="F376" s="3"/>
      <c r="G376" s="5"/>
    </row>
    <row r="377" spans="2:7" x14ac:dyDescent="0.25">
      <c r="B377" s="5"/>
      <c r="C377" s="3"/>
      <c r="D377" s="3"/>
      <c r="E377" s="13"/>
      <c r="F377" s="3"/>
      <c r="G377" s="5"/>
    </row>
    <row r="378" spans="2:7" x14ac:dyDescent="0.25">
      <c r="B378" s="5"/>
      <c r="C378" s="3"/>
      <c r="D378" s="3"/>
      <c r="E378" s="13"/>
      <c r="F378" s="3"/>
      <c r="G378" s="5"/>
    </row>
    <row r="379" spans="2:7" x14ac:dyDescent="0.25">
      <c r="B379" s="5"/>
      <c r="C379" s="3"/>
      <c r="D379" s="3"/>
      <c r="E379" s="13"/>
      <c r="F379" s="3"/>
      <c r="G379" s="5"/>
    </row>
    <row r="380" spans="2:7" x14ac:dyDescent="0.25">
      <c r="B380" s="5"/>
      <c r="C380" s="3"/>
      <c r="D380" s="3"/>
      <c r="E380" s="13"/>
      <c r="F380" s="3"/>
      <c r="G380" s="5"/>
    </row>
    <row r="381" spans="2:7" x14ac:dyDescent="0.25">
      <c r="B381" s="5"/>
      <c r="C381" s="3"/>
      <c r="D381" s="3"/>
      <c r="E381" s="13"/>
      <c r="F381" s="3"/>
      <c r="G381" s="5"/>
    </row>
    <row r="382" spans="2:7" x14ac:dyDescent="0.25">
      <c r="B382" s="5"/>
      <c r="C382" s="3"/>
      <c r="D382" s="3"/>
      <c r="E382" s="13"/>
      <c r="F382" s="3"/>
      <c r="G382" s="5"/>
    </row>
    <row r="383" spans="2:7" x14ac:dyDescent="0.25">
      <c r="B383" s="5"/>
      <c r="C383" s="3"/>
      <c r="D383" s="3"/>
      <c r="E383" s="13"/>
      <c r="F383" s="3"/>
      <c r="G383" s="5"/>
    </row>
    <row r="384" spans="2:7" x14ac:dyDescent="0.25">
      <c r="B384" s="5"/>
      <c r="C384" s="3"/>
      <c r="D384" s="3"/>
      <c r="E384" s="13"/>
      <c r="F384" s="3"/>
      <c r="G384" s="5"/>
    </row>
    <row r="385" spans="2:7" x14ac:dyDescent="0.25">
      <c r="B385" s="5"/>
      <c r="C385" s="3"/>
      <c r="D385" s="3"/>
      <c r="E385" s="13"/>
      <c r="F385" s="3"/>
      <c r="G385" s="5"/>
    </row>
    <row r="386" spans="2:7" x14ac:dyDescent="0.25">
      <c r="B386" s="5"/>
      <c r="C386" s="3"/>
      <c r="D386" s="3"/>
      <c r="E386" s="13"/>
      <c r="F386" s="3"/>
      <c r="G386" s="5"/>
    </row>
    <row r="387" spans="2:7" x14ac:dyDescent="0.25">
      <c r="B387" s="5"/>
      <c r="C387" s="3"/>
      <c r="D387" s="3"/>
      <c r="E387" s="13"/>
      <c r="F387" s="3"/>
      <c r="G387" s="5"/>
    </row>
    <row r="388" spans="2:7" x14ac:dyDescent="0.25">
      <c r="B388" s="5"/>
      <c r="C388" s="3"/>
      <c r="D388" s="3"/>
      <c r="E388" s="13"/>
      <c r="F388" s="3"/>
      <c r="G388" s="5"/>
    </row>
    <row r="389" spans="2:7" x14ac:dyDescent="0.25">
      <c r="B389" s="5"/>
      <c r="C389" s="3"/>
      <c r="D389" s="3"/>
      <c r="E389" s="13"/>
      <c r="F389" s="3"/>
      <c r="G389" s="5"/>
    </row>
    <row r="390" spans="2:7" x14ac:dyDescent="0.25">
      <c r="B390" s="5"/>
      <c r="C390" s="3"/>
      <c r="D390" s="3"/>
      <c r="E390" s="13"/>
      <c r="F390" s="3"/>
      <c r="G390" s="5"/>
    </row>
    <row r="391" spans="2:7" x14ac:dyDescent="0.25">
      <c r="B391" s="5"/>
      <c r="C391" s="3"/>
      <c r="D391" s="3"/>
      <c r="E391" s="13"/>
      <c r="F391" s="3"/>
      <c r="G391" s="5"/>
    </row>
    <row r="392" spans="2:7" x14ac:dyDescent="0.25">
      <c r="B392" s="5"/>
      <c r="C392" s="3"/>
      <c r="D392" s="3"/>
      <c r="E392" s="13"/>
      <c r="F392" s="3"/>
      <c r="G392" s="5"/>
    </row>
    <row r="393" spans="2:7" x14ac:dyDescent="0.25">
      <c r="B393" s="5"/>
      <c r="C393" s="3"/>
      <c r="D393" s="3"/>
      <c r="E393" s="13"/>
      <c r="F393" s="3"/>
      <c r="G393" s="5"/>
    </row>
    <row r="394" spans="2:7" x14ac:dyDescent="0.25">
      <c r="B394" s="5"/>
      <c r="C394" s="3"/>
      <c r="D394" s="3"/>
      <c r="E394" s="13"/>
      <c r="F394" s="3"/>
      <c r="G394" s="5"/>
    </row>
    <row r="395" spans="2:7" x14ac:dyDescent="0.25">
      <c r="B395" s="5"/>
      <c r="C395" s="3"/>
      <c r="D395" s="3"/>
      <c r="E395" s="13"/>
      <c r="F395" s="3"/>
      <c r="G395" s="5"/>
    </row>
    <row r="396" spans="2:7" x14ac:dyDescent="0.25">
      <c r="B396" s="5"/>
      <c r="C396" s="3"/>
      <c r="D396" s="3"/>
      <c r="E396" s="13"/>
      <c r="F396" s="3"/>
      <c r="G396" s="5"/>
    </row>
    <row r="397" spans="2:7" x14ac:dyDescent="0.25">
      <c r="B397" s="5"/>
      <c r="C397" s="3"/>
      <c r="D397" s="3"/>
      <c r="E397" s="13"/>
      <c r="F397" s="3"/>
      <c r="G397" s="5"/>
    </row>
    <row r="398" spans="2:7" x14ac:dyDescent="0.25">
      <c r="B398" s="5"/>
      <c r="C398" s="3"/>
      <c r="D398" s="3"/>
      <c r="E398" s="13"/>
      <c r="F398" s="3"/>
      <c r="G398" s="5"/>
    </row>
    <row r="399" spans="2:7" x14ac:dyDescent="0.25">
      <c r="B399" s="5"/>
      <c r="C399" s="3"/>
      <c r="D399" s="3"/>
      <c r="E399" s="13"/>
      <c r="F399" s="3"/>
      <c r="G399" s="5"/>
    </row>
    <row r="400" spans="2:7" x14ac:dyDescent="0.25">
      <c r="B400" s="5"/>
      <c r="C400" s="3"/>
      <c r="D400" s="3"/>
      <c r="E400" s="13"/>
      <c r="F400" s="3"/>
      <c r="G400" s="5"/>
    </row>
    <row r="401" spans="2:7" x14ac:dyDescent="0.25">
      <c r="B401" s="5"/>
      <c r="C401" s="3"/>
      <c r="D401" s="3"/>
      <c r="E401" s="13"/>
      <c r="F401" s="3"/>
      <c r="G401" s="5"/>
    </row>
    <row r="402" spans="2:7" x14ac:dyDescent="0.25">
      <c r="B402" s="5"/>
      <c r="C402" s="3"/>
      <c r="D402" s="3"/>
      <c r="E402" s="13"/>
      <c r="F402" s="3"/>
      <c r="G402" s="5"/>
    </row>
    <row r="403" spans="2:7" x14ac:dyDescent="0.25">
      <c r="B403" s="5"/>
      <c r="C403" s="3"/>
      <c r="D403" s="3"/>
      <c r="E403" s="13"/>
      <c r="F403" s="3"/>
      <c r="G403" s="5"/>
    </row>
    <row r="404" spans="2:7" x14ac:dyDescent="0.25">
      <c r="B404" s="5"/>
      <c r="C404" s="3"/>
      <c r="D404" s="3"/>
      <c r="E404" s="13"/>
      <c r="F404" s="3"/>
      <c r="G404" s="5"/>
    </row>
    <row r="405" spans="2:7" x14ac:dyDescent="0.25">
      <c r="B405" s="5"/>
      <c r="C405" s="3"/>
      <c r="D405" s="3"/>
      <c r="E405" s="13"/>
      <c r="F405" s="3"/>
      <c r="G405" s="5"/>
    </row>
    <row r="406" spans="2:7" x14ac:dyDescent="0.25">
      <c r="B406" s="5"/>
      <c r="C406" s="3"/>
      <c r="D406" s="3"/>
      <c r="E406" s="13"/>
      <c r="F406" s="3"/>
      <c r="G406" s="5"/>
    </row>
    <row r="407" spans="2:7" x14ac:dyDescent="0.25">
      <c r="B407" s="5"/>
      <c r="C407" s="3"/>
      <c r="D407" s="3"/>
      <c r="E407" s="13"/>
      <c r="F407" s="3"/>
      <c r="G407" s="5"/>
    </row>
    <row r="408" spans="2:7" x14ac:dyDescent="0.25">
      <c r="B408" s="5"/>
      <c r="C408" s="3"/>
      <c r="D408" s="3"/>
      <c r="E408" s="13"/>
      <c r="F408" s="3"/>
      <c r="G408" s="5"/>
    </row>
    <row r="409" spans="2:7" x14ac:dyDescent="0.25">
      <c r="B409" s="5"/>
      <c r="C409" s="3"/>
      <c r="D409" s="3"/>
      <c r="E409" s="13"/>
      <c r="F409" s="3"/>
      <c r="G409" s="5"/>
    </row>
    <row r="410" spans="2:7" x14ac:dyDescent="0.25">
      <c r="B410" s="5"/>
      <c r="C410" s="3"/>
      <c r="D410" s="3"/>
      <c r="E410" s="13"/>
      <c r="F410" s="3"/>
      <c r="G410" s="5"/>
    </row>
    <row r="411" spans="2:7" x14ac:dyDescent="0.25">
      <c r="B411" s="5"/>
      <c r="C411" s="3"/>
      <c r="D411" s="3"/>
      <c r="E411" s="13"/>
      <c r="F411" s="3"/>
      <c r="G411" s="5"/>
    </row>
    <row r="412" spans="2:7" x14ac:dyDescent="0.25">
      <c r="B412" s="5"/>
      <c r="C412" s="3"/>
      <c r="D412" s="3"/>
      <c r="E412" s="13"/>
      <c r="F412" s="3"/>
      <c r="G412" s="5"/>
    </row>
    <row r="413" spans="2:7" x14ac:dyDescent="0.25">
      <c r="B413" s="5"/>
      <c r="C413" s="3"/>
      <c r="D413" s="3"/>
      <c r="E413" s="13"/>
      <c r="F413" s="3"/>
      <c r="G413" s="5"/>
    </row>
    <row r="414" spans="2:7" x14ac:dyDescent="0.25">
      <c r="B414" s="5"/>
      <c r="C414" s="3"/>
      <c r="D414" s="3"/>
      <c r="E414" s="13"/>
      <c r="F414" s="3"/>
      <c r="G414" s="5"/>
    </row>
    <row r="415" spans="2:7" x14ac:dyDescent="0.25">
      <c r="B415" s="5"/>
      <c r="C415" s="3"/>
      <c r="D415" s="3"/>
      <c r="E415" s="13"/>
      <c r="F415" s="3"/>
      <c r="G415" s="5"/>
    </row>
    <row r="416" spans="2:7" x14ac:dyDescent="0.25">
      <c r="B416" s="5"/>
      <c r="C416" s="3"/>
      <c r="D416" s="3"/>
      <c r="E416" s="13"/>
      <c r="F416" s="3"/>
      <c r="G416" s="5"/>
    </row>
    <row r="417" spans="2:7" x14ac:dyDescent="0.25">
      <c r="B417" s="5"/>
      <c r="C417" s="3"/>
      <c r="D417" s="3"/>
      <c r="E417" s="13"/>
      <c r="F417" s="3"/>
      <c r="G417" s="5"/>
    </row>
    <row r="418" spans="2:7" x14ac:dyDescent="0.25">
      <c r="B418" s="5"/>
      <c r="C418" s="3"/>
      <c r="D418" s="3"/>
      <c r="E418" s="13"/>
      <c r="F418" s="3"/>
      <c r="G418" s="5"/>
    </row>
    <row r="419" spans="2:7" x14ac:dyDescent="0.25">
      <c r="B419" s="5"/>
      <c r="C419" s="3"/>
      <c r="D419" s="3"/>
      <c r="E419" s="13"/>
      <c r="F419" s="3"/>
      <c r="G419" s="5"/>
    </row>
    <row r="420" spans="2:7" x14ac:dyDescent="0.25">
      <c r="B420" s="5"/>
      <c r="C420" s="3"/>
      <c r="D420" s="3"/>
      <c r="E420" s="13"/>
      <c r="F420" s="3"/>
      <c r="G420" s="5"/>
    </row>
    <row r="421" spans="2:7" x14ac:dyDescent="0.25">
      <c r="B421" s="5"/>
      <c r="C421" s="3"/>
      <c r="D421" s="3"/>
      <c r="E421" s="13"/>
      <c r="F421" s="3"/>
      <c r="G421" s="5"/>
    </row>
    <row r="422" spans="2:7" x14ac:dyDescent="0.25">
      <c r="B422" s="5"/>
      <c r="C422" s="3"/>
      <c r="D422" s="3"/>
      <c r="E422" s="13"/>
      <c r="F422" s="3"/>
      <c r="G422" s="5"/>
    </row>
    <row r="423" spans="2:7" x14ac:dyDescent="0.25">
      <c r="B423" s="5"/>
      <c r="C423" s="3"/>
      <c r="D423" s="3"/>
      <c r="E423" s="13"/>
      <c r="F423" s="3"/>
      <c r="G423" s="5"/>
    </row>
    <row r="424" spans="2:7" x14ac:dyDescent="0.25">
      <c r="B424" s="5"/>
      <c r="C424" s="3"/>
      <c r="D424" s="3"/>
      <c r="E424" s="13"/>
      <c r="F424" s="3"/>
      <c r="G424" s="5"/>
    </row>
    <row r="425" spans="2:7" x14ac:dyDescent="0.25">
      <c r="B425" s="5"/>
      <c r="C425" s="3"/>
      <c r="D425" s="3"/>
      <c r="E425" s="13"/>
      <c r="F425" s="3"/>
      <c r="G425" s="5"/>
    </row>
    <row r="426" spans="2:7" x14ac:dyDescent="0.25">
      <c r="B426" s="5"/>
      <c r="C426" s="3"/>
      <c r="D426" s="3"/>
      <c r="E426" s="13"/>
      <c r="F426" s="3"/>
      <c r="G426" s="5"/>
    </row>
    <row r="427" spans="2:7" x14ac:dyDescent="0.25">
      <c r="B427" s="5"/>
      <c r="C427" s="3"/>
      <c r="D427" s="3"/>
      <c r="E427" s="13"/>
      <c r="F427" s="3"/>
      <c r="G427" s="5"/>
    </row>
    <row r="428" spans="2:7" x14ac:dyDescent="0.25">
      <c r="B428" s="5"/>
      <c r="C428" s="3"/>
      <c r="D428" s="3"/>
      <c r="E428" s="13"/>
      <c r="F428" s="3"/>
      <c r="G428" s="5"/>
    </row>
    <row r="429" spans="2:7" x14ac:dyDescent="0.25">
      <c r="B429" s="5"/>
      <c r="C429" s="3"/>
      <c r="D429" s="3"/>
      <c r="E429" s="13"/>
      <c r="F429" s="3"/>
      <c r="G429" s="5"/>
    </row>
    <row r="430" spans="2:7" x14ac:dyDescent="0.25">
      <c r="B430" s="5"/>
      <c r="C430" s="3"/>
      <c r="D430" s="3"/>
      <c r="E430" s="13"/>
      <c r="F430" s="3"/>
      <c r="G430" s="5"/>
    </row>
    <row r="431" spans="2:7" x14ac:dyDescent="0.25">
      <c r="B431" s="5"/>
      <c r="C431" s="3"/>
      <c r="D431" s="3"/>
      <c r="E431" s="13"/>
      <c r="F431" s="3"/>
      <c r="G431" s="5"/>
    </row>
    <row r="432" spans="2:7" x14ac:dyDescent="0.25">
      <c r="B432" s="5"/>
      <c r="C432" s="3"/>
      <c r="D432" s="3"/>
      <c r="E432" s="13"/>
      <c r="F432" s="3"/>
      <c r="G432" s="5"/>
    </row>
    <row r="433" spans="2:7" x14ac:dyDescent="0.25">
      <c r="B433" s="5"/>
      <c r="C433" s="3"/>
      <c r="D433" s="3"/>
      <c r="E433" s="13"/>
      <c r="F433" s="3"/>
      <c r="G433" s="5"/>
    </row>
    <row r="434" spans="2:7" x14ac:dyDescent="0.25">
      <c r="B434" s="5"/>
      <c r="C434" s="3"/>
      <c r="D434" s="3"/>
      <c r="E434" s="13"/>
      <c r="F434" s="3"/>
      <c r="G434" s="5"/>
    </row>
    <row r="435" spans="2:7" x14ac:dyDescent="0.25">
      <c r="B435" s="5"/>
      <c r="C435" s="3"/>
      <c r="D435" s="3"/>
      <c r="E435" s="13"/>
      <c r="F435" s="3"/>
      <c r="G435" s="5"/>
    </row>
    <row r="436" spans="2:7" x14ac:dyDescent="0.25">
      <c r="B436" s="5"/>
      <c r="C436" s="3"/>
      <c r="D436" s="3"/>
      <c r="E436" s="13"/>
      <c r="F436" s="3"/>
      <c r="G436" s="5"/>
    </row>
    <row r="437" spans="2:7" x14ac:dyDescent="0.25">
      <c r="B437" s="5"/>
      <c r="C437" s="3"/>
      <c r="D437" s="3"/>
      <c r="E437" s="13"/>
      <c r="F437" s="3"/>
      <c r="G437" s="5"/>
    </row>
    <row r="438" spans="2:7" x14ac:dyDescent="0.25">
      <c r="B438" s="5"/>
      <c r="C438" s="3"/>
      <c r="D438" s="3"/>
      <c r="E438" s="13"/>
      <c r="F438" s="3"/>
      <c r="G438" s="5"/>
    </row>
    <row r="439" spans="2:7" x14ac:dyDescent="0.25">
      <c r="B439" s="5"/>
      <c r="C439" s="3"/>
      <c r="D439" s="3"/>
      <c r="E439" s="13"/>
      <c r="F439" s="3"/>
      <c r="G439" s="5"/>
    </row>
    <row r="440" spans="2:7" x14ac:dyDescent="0.25">
      <c r="B440" s="5"/>
      <c r="C440" s="3"/>
      <c r="D440" s="3"/>
      <c r="E440" s="13"/>
      <c r="F440" s="3"/>
      <c r="G440" s="5"/>
    </row>
    <row r="441" spans="2:7" x14ac:dyDescent="0.25">
      <c r="B441" s="5"/>
      <c r="C441" s="3"/>
      <c r="D441" s="3"/>
      <c r="E441" s="13"/>
      <c r="F441" s="3"/>
      <c r="G441" s="5"/>
    </row>
    <row r="442" spans="2:7" x14ac:dyDescent="0.25">
      <c r="B442" s="5"/>
      <c r="C442" s="3"/>
      <c r="D442" s="3"/>
      <c r="E442" s="13"/>
      <c r="F442" s="3"/>
      <c r="G442" s="5"/>
    </row>
    <row r="443" spans="2:7" x14ac:dyDescent="0.25">
      <c r="B443" s="5"/>
      <c r="C443" s="3"/>
      <c r="D443" s="3"/>
      <c r="E443" s="13"/>
      <c r="F443" s="3"/>
      <c r="G443" s="5"/>
    </row>
    <row r="444" spans="2:7" x14ac:dyDescent="0.25">
      <c r="B444" s="5"/>
      <c r="C444" s="3"/>
      <c r="D444" s="3"/>
      <c r="E444" s="13"/>
      <c r="F444" s="3"/>
      <c r="G444" s="5"/>
    </row>
    <row r="445" spans="2:7" x14ac:dyDescent="0.25">
      <c r="B445" s="5"/>
      <c r="C445" s="3"/>
      <c r="D445" s="3"/>
      <c r="E445" s="13"/>
      <c r="F445" s="3"/>
      <c r="G445" s="5"/>
    </row>
    <row r="446" spans="2:7" x14ac:dyDescent="0.25">
      <c r="B446" s="5"/>
      <c r="C446" s="3"/>
      <c r="D446" s="3"/>
      <c r="E446" s="13"/>
      <c r="F446" s="3"/>
      <c r="G446" s="5"/>
    </row>
    <row r="447" spans="2:7" x14ac:dyDescent="0.25">
      <c r="B447" s="5"/>
      <c r="C447" s="3"/>
      <c r="D447" s="3"/>
      <c r="E447" s="13"/>
      <c r="F447" s="3"/>
      <c r="G447" s="5"/>
    </row>
    <row r="448" spans="2:7" x14ac:dyDescent="0.25">
      <c r="B448" s="5"/>
      <c r="C448" s="3"/>
      <c r="D448" s="3"/>
      <c r="E448" s="13"/>
      <c r="F448" s="3"/>
      <c r="G448" s="5"/>
    </row>
    <row r="449" spans="2:7" x14ac:dyDescent="0.25">
      <c r="B449" s="5"/>
      <c r="C449" s="3"/>
      <c r="D449" s="3"/>
      <c r="E449" s="13"/>
      <c r="F449" s="3"/>
      <c r="G449" s="5"/>
    </row>
    <row r="450" spans="2:7" x14ac:dyDescent="0.25">
      <c r="B450" s="5"/>
      <c r="C450" s="3"/>
      <c r="D450" s="3"/>
      <c r="E450" s="13"/>
      <c r="F450" s="3"/>
      <c r="G450" s="5"/>
    </row>
    <row r="451" spans="2:7" x14ac:dyDescent="0.25">
      <c r="B451" s="5"/>
      <c r="C451" s="3"/>
      <c r="D451" s="3"/>
      <c r="E451" s="13"/>
      <c r="F451" s="3"/>
      <c r="G451" s="5"/>
    </row>
    <row r="452" spans="2:7" x14ac:dyDescent="0.25">
      <c r="B452" s="5"/>
      <c r="C452" s="3"/>
      <c r="D452" s="3"/>
      <c r="E452" s="13"/>
      <c r="F452" s="3"/>
      <c r="G452" s="5"/>
    </row>
    <row r="453" spans="2:7" x14ac:dyDescent="0.25">
      <c r="B453" s="5"/>
      <c r="C453" s="3"/>
      <c r="D453" s="3"/>
      <c r="E453" s="13"/>
      <c r="F453" s="3"/>
      <c r="G453" s="5"/>
    </row>
    <row r="454" spans="2:7" x14ac:dyDescent="0.25">
      <c r="B454" s="5"/>
      <c r="C454" s="3"/>
      <c r="D454" s="3"/>
      <c r="E454" s="13"/>
      <c r="F454" s="3"/>
      <c r="G454" s="5"/>
    </row>
    <row r="455" spans="2:7" x14ac:dyDescent="0.25">
      <c r="B455" s="5"/>
      <c r="C455" s="3"/>
      <c r="D455" s="3"/>
      <c r="E455" s="13"/>
      <c r="F455" s="3"/>
      <c r="G455" s="5"/>
    </row>
    <row r="456" spans="2:7" x14ac:dyDescent="0.25">
      <c r="B456" s="5"/>
      <c r="C456" s="3"/>
      <c r="D456" s="3"/>
      <c r="E456" s="13"/>
      <c r="F456" s="3"/>
      <c r="G456" s="5"/>
    </row>
    <row r="457" spans="2:7" x14ac:dyDescent="0.25">
      <c r="B457" s="5"/>
      <c r="C457" s="3"/>
      <c r="D457" s="3"/>
      <c r="E457" s="13"/>
      <c r="F457" s="3"/>
      <c r="G457" s="5"/>
    </row>
    <row r="458" spans="2:7" x14ac:dyDescent="0.25">
      <c r="B458" s="5"/>
      <c r="C458" s="3"/>
      <c r="D458" s="3"/>
      <c r="E458" s="13"/>
      <c r="F458" s="3"/>
      <c r="G458" s="5"/>
    </row>
    <row r="459" spans="2:7" x14ac:dyDescent="0.25">
      <c r="B459" s="5"/>
      <c r="C459" s="3"/>
      <c r="D459" s="3"/>
      <c r="E459" s="13"/>
      <c r="F459" s="3"/>
      <c r="G459" s="5"/>
    </row>
    <row r="460" spans="2:7" x14ac:dyDescent="0.25">
      <c r="B460" s="5"/>
      <c r="C460" s="3"/>
      <c r="D460" s="3"/>
      <c r="E460" s="13"/>
      <c r="F460" s="3"/>
      <c r="G460" s="5"/>
    </row>
    <row r="461" spans="2:7" x14ac:dyDescent="0.25">
      <c r="B461" s="5"/>
      <c r="C461" s="3"/>
      <c r="D461" s="3"/>
      <c r="E461" s="13"/>
      <c r="F461" s="3"/>
      <c r="G461" s="5"/>
    </row>
    <row r="462" spans="2:7" x14ac:dyDescent="0.25">
      <c r="B462" s="5"/>
      <c r="C462" s="3"/>
      <c r="D462" s="3"/>
      <c r="E462" s="13"/>
      <c r="F462" s="3"/>
      <c r="G462" s="5"/>
    </row>
    <row r="463" spans="2:7" x14ac:dyDescent="0.25">
      <c r="B463" s="5"/>
      <c r="C463" s="3"/>
      <c r="D463" s="3"/>
      <c r="E463" s="13"/>
      <c r="F463" s="3"/>
      <c r="G463" s="5"/>
    </row>
    <row r="464" spans="2:7" x14ac:dyDescent="0.25">
      <c r="B464" s="5"/>
      <c r="C464" s="3"/>
      <c r="D464" s="3"/>
      <c r="E464" s="13"/>
      <c r="F464" s="3"/>
      <c r="G464" s="5"/>
    </row>
    <row r="465" spans="2:7" x14ac:dyDescent="0.25">
      <c r="B465" s="5"/>
      <c r="C465" s="3"/>
      <c r="D465" s="3"/>
      <c r="E465" s="13"/>
      <c r="F465" s="3"/>
      <c r="G465" s="5"/>
    </row>
    <row r="466" spans="2:7" x14ac:dyDescent="0.25">
      <c r="B466" s="5"/>
      <c r="C466" s="3"/>
      <c r="D466" s="3"/>
      <c r="E466" s="13"/>
      <c r="F466" s="3"/>
      <c r="G466" s="5"/>
    </row>
    <row r="467" spans="2:7" x14ac:dyDescent="0.25">
      <c r="B467" s="5"/>
      <c r="C467" s="3"/>
      <c r="D467" s="3"/>
      <c r="E467" s="13"/>
      <c r="F467" s="3"/>
      <c r="G467" s="5"/>
    </row>
    <row r="468" spans="2:7" x14ac:dyDescent="0.25">
      <c r="B468" s="5"/>
      <c r="C468" s="3"/>
      <c r="D468" s="3"/>
      <c r="E468" s="13"/>
      <c r="F468" s="3"/>
      <c r="G468" s="5"/>
    </row>
    <row r="469" spans="2:7" x14ac:dyDescent="0.25">
      <c r="B469" s="5"/>
      <c r="C469" s="3"/>
      <c r="D469" s="3"/>
      <c r="E469" s="13"/>
      <c r="F469" s="3"/>
      <c r="G469" s="5"/>
    </row>
    <row r="470" spans="2:7" x14ac:dyDescent="0.25">
      <c r="B470" s="5"/>
      <c r="C470" s="3"/>
      <c r="D470" s="3"/>
      <c r="E470" s="13"/>
      <c r="F470" s="3"/>
      <c r="G470" s="5"/>
    </row>
    <row r="471" spans="2:7" x14ac:dyDescent="0.25">
      <c r="B471" s="5"/>
      <c r="C471" s="3"/>
      <c r="D471" s="3"/>
      <c r="E471" s="13"/>
      <c r="F471" s="3"/>
      <c r="G471" s="5"/>
    </row>
    <row r="472" spans="2:7" x14ac:dyDescent="0.25">
      <c r="B472" s="5"/>
      <c r="C472" s="3"/>
      <c r="D472" s="3"/>
      <c r="E472" s="13"/>
      <c r="F472" s="3"/>
      <c r="G472" s="5"/>
    </row>
    <row r="473" spans="2:7" x14ac:dyDescent="0.25">
      <c r="B473" s="5"/>
      <c r="C473" s="3"/>
      <c r="D473" s="3"/>
      <c r="E473" s="13"/>
      <c r="F473" s="3"/>
      <c r="G473" s="5"/>
    </row>
    <row r="474" spans="2:7" x14ac:dyDescent="0.25">
      <c r="B474" s="5"/>
      <c r="C474" s="3"/>
      <c r="D474" s="3"/>
      <c r="E474" s="13"/>
      <c r="F474" s="3"/>
      <c r="G474" s="5"/>
    </row>
    <row r="475" spans="2:7" x14ac:dyDescent="0.25">
      <c r="B475" s="5"/>
      <c r="C475" s="3"/>
      <c r="D475" s="3"/>
      <c r="E475" s="13"/>
      <c r="F475" s="3"/>
      <c r="G475" s="5"/>
    </row>
    <row r="476" spans="2:7" x14ac:dyDescent="0.25">
      <c r="B476" s="5"/>
      <c r="C476" s="3"/>
      <c r="D476" s="3"/>
      <c r="E476" s="13"/>
      <c r="F476" s="3"/>
      <c r="G476" s="5"/>
    </row>
    <row r="477" spans="2:7" x14ac:dyDescent="0.25">
      <c r="B477" s="5"/>
      <c r="C477" s="3"/>
      <c r="D477" s="3"/>
      <c r="E477" s="13"/>
      <c r="F477" s="3"/>
      <c r="G477" s="5"/>
    </row>
    <row r="478" spans="2:7" x14ac:dyDescent="0.25">
      <c r="B478" s="5"/>
      <c r="C478" s="3"/>
      <c r="D478" s="3"/>
      <c r="E478" s="13"/>
      <c r="F478" s="3"/>
      <c r="G478" s="5"/>
    </row>
    <row r="479" spans="2:7" x14ac:dyDescent="0.25">
      <c r="B479" s="5"/>
      <c r="C479" s="3"/>
      <c r="D479" s="3"/>
      <c r="E479" s="13"/>
      <c r="F479" s="3"/>
      <c r="G479" s="5"/>
    </row>
    <row r="480" spans="2:7" x14ac:dyDescent="0.25">
      <c r="B480" s="5"/>
      <c r="C480" s="3"/>
      <c r="D480" s="3"/>
      <c r="E480" s="13"/>
      <c r="F480" s="3"/>
      <c r="G480" s="5"/>
    </row>
    <row r="481" spans="2:7" x14ac:dyDescent="0.25">
      <c r="B481" s="5"/>
      <c r="C481" s="3"/>
      <c r="D481" s="3"/>
      <c r="E481" s="13"/>
      <c r="F481" s="3"/>
      <c r="G481" s="5"/>
    </row>
    <row r="482" spans="2:7" x14ac:dyDescent="0.25">
      <c r="B482" s="5"/>
      <c r="C482" s="3"/>
      <c r="D482" s="3"/>
      <c r="E482" s="13"/>
      <c r="F482" s="3"/>
      <c r="G482" s="5"/>
    </row>
    <row r="483" spans="2:7" x14ac:dyDescent="0.25">
      <c r="B483" s="5"/>
      <c r="C483" s="3"/>
      <c r="D483" s="3"/>
      <c r="E483" s="13"/>
      <c r="F483" s="3"/>
      <c r="G483" s="5"/>
    </row>
    <row r="484" spans="2:7" x14ac:dyDescent="0.25">
      <c r="B484" s="5"/>
      <c r="C484" s="3"/>
      <c r="D484" s="3"/>
      <c r="E484" s="13"/>
      <c r="F484" s="3"/>
      <c r="G484" s="5"/>
    </row>
    <row r="485" spans="2:7" x14ac:dyDescent="0.25">
      <c r="B485" s="5"/>
      <c r="C485" s="3"/>
      <c r="D485" s="3"/>
      <c r="E485" s="13"/>
      <c r="F485" s="3"/>
      <c r="G485" s="5"/>
    </row>
    <row r="486" spans="2:7" x14ac:dyDescent="0.25">
      <c r="B486" s="5"/>
      <c r="C486" s="3"/>
      <c r="D486" s="3"/>
      <c r="E486" s="13"/>
      <c r="F486" s="3"/>
      <c r="G486" s="5"/>
    </row>
    <row r="487" spans="2:7" x14ac:dyDescent="0.25">
      <c r="B487" s="5"/>
      <c r="C487" s="3"/>
      <c r="D487" s="3"/>
      <c r="E487" s="13"/>
      <c r="F487" s="3"/>
      <c r="G487" s="5"/>
    </row>
    <row r="488" spans="2:7" x14ac:dyDescent="0.25">
      <c r="B488" s="5"/>
      <c r="C488" s="3"/>
      <c r="D488" s="3"/>
      <c r="E488" s="13"/>
      <c r="F488" s="3"/>
      <c r="G488" s="5"/>
    </row>
    <row r="489" spans="2:7" x14ac:dyDescent="0.25">
      <c r="B489" s="5"/>
      <c r="C489" s="3"/>
      <c r="D489" s="3"/>
      <c r="E489" s="13"/>
      <c r="F489" s="3"/>
      <c r="G489" s="5"/>
    </row>
    <row r="490" spans="2:7" x14ac:dyDescent="0.25">
      <c r="B490" s="5"/>
      <c r="C490" s="3"/>
      <c r="D490" s="3"/>
      <c r="E490" s="13"/>
      <c r="F490" s="3"/>
      <c r="G490" s="5"/>
    </row>
    <row r="491" spans="2:7" x14ac:dyDescent="0.25">
      <c r="B491" s="5"/>
      <c r="C491" s="3"/>
      <c r="D491" s="3"/>
      <c r="E491" s="13"/>
      <c r="F491" s="3"/>
      <c r="G491" s="5"/>
    </row>
    <row r="492" spans="2:7" x14ac:dyDescent="0.25">
      <c r="B492" s="5"/>
      <c r="C492" s="3"/>
      <c r="D492" s="3"/>
      <c r="E492" s="13"/>
      <c r="F492" s="3"/>
      <c r="G492" s="5"/>
    </row>
    <row r="493" spans="2:7" x14ac:dyDescent="0.25">
      <c r="B493" s="5"/>
      <c r="C493" s="3"/>
      <c r="D493" s="3"/>
      <c r="E493" s="13"/>
      <c r="F493" s="3"/>
      <c r="G493" s="5"/>
    </row>
    <row r="494" spans="2:7" x14ac:dyDescent="0.25">
      <c r="B494" s="5"/>
      <c r="C494" s="3"/>
      <c r="D494" s="3"/>
      <c r="E494" s="13"/>
      <c r="F494" s="3"/>
      <c r="G494" s="5"/>
    </row>
    <row r="495" spans="2:7" x14ac:dyDescent="0.25">
      <c r="B495" s="5"/>
      <c r="C495" s="3"/>
      <c r="D495" s="3"/>
      <c r="E495" s="13"/>
      <c r="F495" s="3"/>
      <c r="G495" s="5"/>
    </row>
    <row r="496" spans="2:7" x14ac:dyDescent="0.25">
      <c r="B496" s="5"/>
      <c r="C496" s="3"/>
      <c r="D496" s="3"/>
      <c r="E496" s="13"/>
      <c r="F496" s="3"/>
      <c r="G496" s="5"/>
    </row>
    <row r="497" spans="2:7" x14ac:dyDescent="0.25">
      <c r="B497" s="5"/>
      <c r="C497" s="3"/>
      <c r="D497" s="3"/>
      <c r="E497" s="13"/>
      <c r="F497" s="3"/>
      <c r="G497" s="5"/>
    </row>
    <row r="498" spans="2:7" x14ac:dyDescent="0.25">
      <c r="B498" s="5"/>
      <c r="C498" s="3"/>
      <c r="D498" s="3"/>
      <c r="E498" s="13"/>
      <c r="F498" s="3"/>
      <c r="G498" s="5"/>
    </row>
    <row r="499" spans="2:7" x14ac:dyDescent="0.25">
      <c r="B499" s="5"/>
      <c r="C499" s="3"/>
      <c r="D499" s="3"/>
      <c r="E499" s="13"/>
      <c r="F499" s="3"/>
      <c r="G499" s="5"/>
    </row>
    <row r="500" spans="2:7" x14ac:dyDescent="0.25">
      <c r="B500" s="5"/>
      <c r="C500" s="3"/>
      <c r="D500" s="3"/>
      <c r="E500" s="13"/>
      <c r="F500" s="3"/>
      <c r="G500" s="5"/>
    </row>
    <row r="501" spans="2:7" x14ac:dyDescent="0.25">
      <c r="B501" s="5"/>
      <c r="C501" s="3"/>
      <c r="D501" s="3"/>
      <c r="E501" s="13"/>
      <c r="F501" s="3"/>
      <c r="G501" s="5"/>
    </row>
    <row r="502" spans="2:7" x14ac:dyDescent="0.25">
      <c r="B502" s="5"/>
      <c r="C502" s="3"/>
      <c r="D502" s="3"/>
      <c r="E502" s="13"/>
      <c r="F502" s="3"/>
      <c r="G502" s="5"/>
    </row>
    <row r="503" spans="2:7" x14ac:dyDescent="0.25">
      <c r="B503" s="5"/>
      <c r="C503" s="3"/>
      <c r="D503" s="3"/>
      <c r="E503" s="13"/>
      <c r="F503" s="3"/>
      <c r="G503" s="5"/>
    </row>
    <row r="504" spans="2:7" x14ac:dyDescent="0.25">
      <c r="B504" s="5"/>
      <c r="C504" s="3"/>
      <c r="D504" s="3"/>
      <c r="E504" s="13"/>
      <c r="F504" s="3"/>
      <c r="G504" s="5"/>
    </row>
    <row r="505" spans="2:7" x14ac:dyDescent="0.25">
      <c r="B505" s="5"/>
      <c r="C505" s="3"/>
      <c r="D505" s="3"/>
      <c r="E505" s="13"/>
      <c r="F505" s="3"/>
      <c r="G505" s="5"/>
    </row>
    <row r="506" spans="2:7" x14ac:dyDescent="0.25">
      <c r="B506" s="5"/>
      <c r="C506" s="3"/>
      <c r="D506" s="3"/>
      <c r="E506" s="13"/>
      <c r="F506" s="3"/>
      <c r="G506" s="5"/>
    </row>
    <row r="507" spans="2:7" x14ac:dyDescent="0.25">
      <c r="B507" s="5"/>
      <c r="C507" s="3"/>
      <c r="D507" s="3"/>
      <c r="E507" s="13"/>
      <c r="F507" s="3"/>
      <c r="G507" s="5"/>
    </row>
    <row r="508" spans="2:7" x14ac:dyDescent="0.25">
      <c r="B508" s="5"/>
      <c r="C508" s="3"/>
      <c r="D508" s="3"/>
      <c r="E508" s="13"/>
      <c r="F508" s="3"/>
      <c r="G508" s="5"/>
    </row>
    <row r="509" spans="2:7" x14ac:dyDescent="0.25">
      <c r="B509" s="5"/>
      <c r="C509" s="3"/>
      <c r="D509" s="3"/>
      <c r="E509" s="13"/>
      <c r="F509" s="3"/>
      <c r="G509" s="5"/>
    </row>
    <row r="510" spans="2:7" x14ac:dyDescent="0.25">
      <c r="B510" s="5"/>
      <c r="C510" s="3"/>
      <c r="D510" s="3"/>
      <c r="E510" s="13"/>
      <c r="F510" s="3"/>
      <c r="G510" s="5"/>
    </row>
    <row r="511" spans="2:7" x14ac:dyDescent="0.25">
      <c r="B511" s="5"/>
      <c r="C511" s="3"/>
      <c r="D511" s="3"/>
      <c r="E511" s="13"/>
      <c r="F511" s="3"/>
      <c r="G511" s="5"/>
    </row>
    <row r="512" spans="2:7" x14ac:dyDescent="0.25">
      <c r="B512" s="5"/>
      <c r="C512" s="3"/>
      <c r="D512" s="3"/>
      <c r="E512" s="13"/>
      <c r="F512" s="3"/>
      <c r="G512" s="5"/>
    </row>
    <row r="513" spans="2:7" x14ac:dyDescent="0.25">
      <c r="B513" s="5"/>
      <c r="C513" s="3"/>
      <c r="D513" s="3"/>
      <c r="E513" s="13"/>
      <c r="F513" s="3"/>
      <c r="G513" s="5"/>
    </row>
    <row r="514" spans="2:7" x14ac:dyDescent="0.25">
      <c r="B514" s="5"/>
      <c r="C514" s="3"/>
      <c r="D514" s="3"/>
      <c r="E514" s="13"/>
      <c r="F514" s="3"/>
      <c r="G514" s="5"/>
    </row>
    <row r="515" spans="2:7" x14ac:dyDescent="0.25">
      <c r="B515" s="5"/>
      <c r="C515" s="3"/>
      <c r="D515" s="3"/>
      <c r="E515" s="13"/>
      <c r="F515" s="3"/>
      <c r="G515" s="5"/>
    </row>
    <row r="516" spans="2:7" x14ac:dyDescent="0.25">
      <c r="B516" s="5"/>
      <c r="C516" s="3"/>
      <c r="D516" s="3"/>
      <c r="E516" s="13"/>
      <c r="F516" s="3"/>
      <c r="G516" s="5"/>
    </row>
    <row r="517" spans="2:7" x14ac:dyDescent="0.25">
      <c r="B517" s="5"/>
      <c r="C517" s="3"/>
      <c r="D517" s="3"/>
      <c r="E517" s="13"/>
      <c r="F517" s="3"/>
      <c r="G517" s="5"/>
    </row>
    <row r="518" spans="2:7" x14ac:dyDescent="0.25">
      <c r="B518" s="5"/>
      <c r="C518" s="3"/>
      <c r="D518" s="3"/>
      <c r="E518" s="13"/>
      <c r="F518" s="3"/>
      <c r="G518" s="5"/>
    </row>
    <row r="519" spans="2:7" x14ac:dyDescent="0.25">
      <c r="B519" s="5"/>
      <c r="C519" s="3"/>
      <c r="D519" s="3"/>
      <c r="E519" s="13"/>
      <c r="F519" s="3"/>
      <c r="G519" s="5"/>
    </row>
    <row r="520" spans="2:7" x14ac:dyDescent="0.25">
      <c r="B520" s="5"/>
      <c r="C520" s="3"/>
      <c r="D520" s="3"/>
      <c r="E520" s="13"/>
      <c r="F520" s="3"/>
      <c r="G520" s="5"/>
    </row>
    <row r="521" spans="2:7" x14ac:dyDescent="0.25">
      <c r="B521" s="5"/>
      <c r="C521" s="3"/>
      <c r="D521" s="3"/>
      <c r="E521" s="13"/>
      <c r="F521" s="3"/>
      <c r="G521" s="5"/>
    </row>
    <row r="522" spans="2:7" x14ac:dyDescent="0.25">
      <c r="B522" s="5"/>
      <c r="C522" s="3"/>
      <c r="D522" s="3"/>
      <c r="E522" s="13"/>
      <c r="F522" s="3"/>
      <c r="G522" s="5"/>
    </row>
    <row r="523" spans="2:7" x14ac:dyDescent="0.25">
      <c r="B523" s="5"/>
      <c r="C523" s="3"/>
      <c r="D523" s="3"/>
      <c r="E523" s="13"/>
      <c r="F523" s="3"/>
      <c r="G523" s="5"/>
    </row>
    <row r="524" spans="2:7" x14ac:dyDescent="0.25">
      <c r="B524" s="5"/>
      <c r="C524" s="3"/>
      <c r="D524" s="3"/>
      <c r="E524" s="13"/>
      <c r="F524" s="3"/>
      <c r="G524" s="5"/>
    </row>
    <row r="525" spans="2:7" x14ac:dyDescent="0.25">
      <c r="B525" s="5"/>
      <c r="C525" s="3"/>
      <c r="D525" s="3"/>
      <c r="E525" s="13"/>
      <c r="F525" s="3"/>
      <c r="G525" s="5"/>
    </row>
    <row r="526" spans="2:7" x14ac:dyDescent="0.25">
      <c r="B526" s="5"/>
      <c r="C526" s="3"/>
      <c r="D526" s="3"/>
      <c r="E526" s="13"/>
      <c r="F526" s="3"/>
      <c r="G526" s="5"/>
    </row>
    <row r="527" spans="2:7" x14ac:dyDescent="0.25">
      <c r="B527" s="5"/>
      <c r="C527" s="3"/>
      <c r="D527" s="3"/>
      <c r="E527" s="13"/>
      <c r="F527" s="3"/>
      <c r="G527" s="5"/>
    </row>
    <row r="528" spans="2:7" x14ac:dyDescent="0.25">
      <c r="B528" s="5"/>
      <c r="C528" s="3"/>
      <c r="D528" s="3"/>
      <c r="E528" s="13"/>
      <c r="F528" s="3"/>
      <c r="G528" s="5"/>
    </row>
    <row r="529" spans="2:7" x14ac:dyDescent="0.25">
      <c r="B529" s="5"/>
      <c r="C529" s="3"/>
      <c r="D529" s="3"/>
      <c r="E529" s="13"/>
      <c r="F529" s="3"/>
      <c r="G529" s="5"/>
    </row>
    <row r="530" spans="2:7" x14ac:dyDescent="0.25">
      <c r="B530" s="5"/>
      <c r="C530" s="3"/>
      <c r="D530" s="3"/>
      <c r="E530" s="13"/>
      <c r="F530" s="3"/>
      <c r="G530" s="5"/>
    </row>
    <row r="531" spans="2:7" x14ac:dyDescent="0.25">
      <c r="B531" s="5"/>
      <c r="C531" s="3"/>
      <c r="D531" s="3"/>
      <c r="E531" s="13"/>
      <c r="F531" s="3"/>
      <c r="G531" s="5"/>
    </row>
    <row r="532" spans="2:7" x14ac:dyDescent="0.25">
      <c r="B532" s="5"/>
      <c r="C532" s="3"/>
      <c r="D532" s="3"/>
      <c r="E532" s="13"/>
      <c r="F532" s="3"/>
      <c r="G532" s="5"/>
    </row>
    <row r="533" spans="2:7" x14ac:dyDescent="0.25">
      <c r="B533" s="5"/>
      <c r="C533" s="3"/>
      <c r="D533" s="3"/>
      <c r="E533" s="13"/>
      <c r="F533" s="3"/>
      <c r="G533" s="5"/>
    </row>
    <row r="534" spans="2:7" x14ac:dyDescent="0.25">
      <c r="B534" s="5"/>
      <c r="C534" s="3"/>
      <c r="D534" s="3"/>
      <c r="E534" s="13"/>
      <c r="F534" s="3"/>
      <c r="G534" s="5"/>
    </row>
    <row r="535" spans="2:7" x14ac:dyDescent="0.25">
      <c r="B535" s="5"/>
      <c r="C535" s="3"/>
      <c r="D535" s="3"/>
      <c r="E535" s="13"/>
      <c r="F535" s="3"/>
      <c r="G535" s="5"/>
    </row>
    <row r="536" spans="2:7" x14ac:dyDescent="0.25">
      <c r="B536" s="5"/>
      <c r="C536" s="3"/>
      <c r="D536" s="3"/>
      <c r="E536" s="13"/>
      <c r="F536" s="3"/>
      <c r="G536" s="5"/>
    </row>
    <row r="537" spans="2:7" x14ac:dyDescent="0.25">
      <c r="B537" s="5"/>
      <c r="C537" s="3"/>
      <c r="D537" s="3"/>
      <c r="E537" s="13"/>
      <c r="F537" s="3"/>
      <c r="G537" s="5"/>
    </row>
    <row r="538" spans="2:7" x14ac:dyDescent="0.25">
      <c r="B538" s="5"/>
      <c r="C538" s="3"/>
      <c r="D538" s="3"/>
      <c r="E538" s="13"/>
      <c r="F538" s="3"/>
      <c r="G538" s="5"/>
    </row>
    <row r="539" spans="2:7" x14ac:dyDescent="0.25">
      <c r="B539" s="5"/>
      <c r="C539" s="3"/>
      <c r="D539" s="3"/>
      <c r="E539" s="13"/>
      <c r="F539" s="3"/>
      <c r="G539" s="5"/>
    </row>
    <row r="540" spans="2:7" x14ac:dyDescent="0.25">
      <c r="B540" s="5"/>
      <c r="C540" s="3"/>
      <c r="D540" s="3"/>
      <c r="E540" s="13"/>
      <c r="F540" s="3"/>
      <c r="G540" s="5"/>
    </row>
    <row r="541" spans="2:7" x14ac:dyDescent="0.25">
      <c r="B541" s="5"/>
      <c r="C541" s="3"/>
      <c r="D541" s="3"/>
      <c r="E541" s="13"/>
      <c r="F541" s="3"/>
      <c r="G541" s="5"/>
    </row>
    <row r="542" spans="2:7" x14ac:dyDescent="0.25">
      <c r="B542" s="5"/>
      <c r="C542" s="3"/>
      <c r="D542" s="3"/>
      <c r="E542" s="13"/>
      <c r="F542" s="3"/>
      <c r="G542" s="5"/>
    </row>
    <row r="543" spans="2:7" x14ac:dyDescent="0.25">
      <c r="B543" s="5"/>
      <c r="C543" s="3"/>
      <c r="D543" s="3"/>
      <c r="E543" s="13"/>
      <c r="F543" s="3"/>
      <c r="G543" s="5"/>
    </row>
    <row r="544" spans="2:7" x14ac:dyDescent="0.25">
      <c r="B544" s="5"/>
      <c r="C544" s="3"/>
      <c r="D544" s="3"/>
      <c r="E544" s="13"/>
      <c r="F544" s="3"/>
      <c r="G544" s="5"/>
    </row>
    <row r="545" spans="2:7" x14ac:dyDescent="0.25">
      <c r="B545" s="5"/>
      <c r="C545" s="3"/>
      <c r="D545" s="3"/>
      <c r="E545" s="13"/>
      <c r="F545" s="3"/>
      <c r="G545" s="5"/>
    </row>
    <row r="546" spans="2:7" x14ac:dyDescent="0.25">
      <c r="B546" s="5"/>
      <c r="C546" s="3"/>
      <c r="D546" s="3"/>
      <c r="E546" s="13"/>
      <c r="F546" s="3"/>
      <c r="G546" s="5"/>
    </row>
    <row r="547" spans="2:7" x14ac:dyDescent="0.25">
      <c r="B547" s="5"/>
      <c r="C547" s="3"/>
      <c r="D547" s="3"/>
      <c r="E547" s="13"/>
      <c r="F547" s="3"/>
      <c r="G547" s="5"/>
    </row>
    <row r="548" spans="2:7" x14ac:dyDescent="0.25">
      <c r="B548" s="5"/>
      <c r="C548" s="3"/>
      <c r="D548" s="3"/>
      <c r="E548" s="13"/>
      <c r="F548" s="3"/>
      <c r="G548" s="5"/>
    </row>
    <row r="549" spans="2:7" x14ac:dyDescent="0.25">
      <c r="B549" s="5"/>
      <c r="C549" s="3"/>
      <c r="D549" s="3"/>
      <c r="E549" s="13"/>
      <c r="F549" s="3"/>
      <c r="G549" s="5"/>
    </row>
    <row r="550" spans="2:7" x14ac:dyDescent="0.25">
      <c r="B550" s="5"/>
      <c r="C550" s="3"/>
      <c r="D550" s="3"/>
      <c r="E550" s="13"/>
      <c r="F550" s="3"/>
      <c r="G550" s="5"/>
    </row>
    <row r="551" spans="2:7" x14ac:dyDescent="0.25">
      <c r="B551" s="5"/>
      <c r="C551" s="3"/>
      <c r="D551" s="3"/>
      <c r="E551" s="13"/>
      <c r="F551" s="3"/>
      <c r="G551" s="5"/>
    </row>
    <row r="552" spans="2:7" x14ac:dyDescent="0.25">
      <c r="B552" s="5"/>
      <c r="C552" s="3"/>
      <c r="D552" s="3"/>
      <c r="E552" s="13"/>
      <c r="F552" s="3"/>
      <c r="G552" s="5"/>
    </row>
    <row r="553" spans="2:7" x14ac:dyDescent="0.25">
      <c r="B553" s="5"/>
      <c r="C553" s="3"/>
      <c r="D553" s="3"/>
      <c r="E553" s="13"/>
      <c r="F553" s="3"/>
      <c r="G553" s="5"/>
    </row>
    <row r="554" spans="2:7" x14ac:dyDescent="0.25">
      <c r="B554" s="5"/>
      <c r="C554" s="3"/>
      <c r="D554" s="3"/>
      <c r="E554" s="13"/>
      <c r="F554" s="3"/>
      <c r="G554" s="5"/>
    </row>
    <row r="555" spans="2:7" x14ac:dyDescent="0.25">
      <c r="B555" s="5"/>
      <c r="C555" s="3"/>
      <c r="D555" s="3"/>
      <c r="E555" s="13"/>
      <c r="F555" s="3"/>
      <c r="G555" s="5"/>
    </row>
    <row r="556" spans="2:7" x14ac:dyDescent="0.25">
      <c r="B556" s="5"/>
      <c r="C556" s="3"/>
      <c r="D556" s="3"/>
      <c r="E556" s="13"/>
      <c r="F556" s="3"/>
      <c r="G556" s="5"/>
    </row>
    <row r="557" spans="2:7" x14ac:dyDescent="0.25">
      <c r="B557" s="5"/>
      <c r="C557" s="3"/>
      <c r="D557" s="3"/>
      <c r="E557" s="13"/>
      <c r="F557" s="3"/>
      <c r="G557" s="5"/>
    </row>
    <row r="558" spans="2:7" x14ac:dyDescent="0.25">
      <c r="B558" s="5"/>
      <c r="C558" s="3"/>
      <c r="D558" s="3"/>
      <c r="E558" s="13"/>
      <c r="F558" s="3"/>
      <c r="G558" s="5"/>
    </row>
    <row r="559" spans="2:7" x14ac:dyDescent="0.25">
      <c r="B559" s="5"/>
      <c r="C559" s="3"/>
      <c r="D559" s="3"/>
      <c r="E559" s="13"/>
      <c r="F559" s="3"/>
      <c r="G559" s="5"/>
    </row>
    <row r="560" spans="2:7" x14ac:dyDescent="0.25">
      <c r="B560" s="5"/>
      <c r="C560" s="3"/>
      <c r="D560" s="3"/>
      <c r="E560" s="13"/>
      <c r="F560" s="3"/>
      <c r="G560" s="5"/>
    </row>
    <row r="561" spans="6:7" x14ac:dyDescent="0.25">
      <c r="F561" s="13"/>
      <c r="G561" s="5"/>
    </row>
    <row r="562" spans="6:7" x14ac:dyDescent="0.25">
      <c r="F562" s="3"/>
      <c r="G562" s="5"/>
    </row>
    <row r="563" spans="6:7" x14ac:dyDescent="0.25">
      <c r="F563" s="13"/>
    </row>
    <row r="564" spans="6:7" x14ac:dyDescent="0.25">
      <c r="F564" s="3"/>
      <c r="G564" s="5"/>
    </row>
    <row r="565" spans="6:7" x14ac:dyDescent="0.25">
      <c r="F565" s="3"/>
      <c r="G565" s="5"/>
    </row>
  </sheetData>
  <sortState ref="Y34:Y48">
    <sortCondition ref="Y41:Y55"/>
  </sortState>
  <hyperlinks>
    <hyperlink ref="F19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2"/>
  <sheetViews>
    <sheetView topLeftCell="A13" workbookViewId="0">
      <selection activeCell="A14" sqref="A14:B19"/>
    </sheetView>
  </sheetViews>
  <sheetFormatPr baseColWidth="10" defaultRowHeight="14.5" x14ac:dyDescent="0.35"/>
  <sheetData>
    <row r="1" spans="1:4" x14ac:dyDescent="0.35">
      <c r="A1" s="22" t="s">
        <v>0</v>
      </c>
      <c r="B1" s="22" t="s">
        <v>99</v>
      </c>
    </row>
    <row r="2" spans="1:4" x14ac:dyDescent="0.35">
      <c r="A2" s="3">
        <v>1</v>
      </c>
      <c r="B2" s="3">
        <v>1</v>
      </c>
      <c r="D2">
        <v>1</v>
      </c>
    </row>
    <row r="3" spans="1:4" x14ac:dyDescent="0.35">
      <c r="A3" s="3">
        <v>2</v>
      </c>
      <c r="B3" s="3">
        <v>1</v>
      </c>
    </row>
    <row r="4" spans="1:4" x14ac:dyDescent="0.35">
      <c r="A4" s="3">
        <v>3</v>
      </c>
      <c r="B4" s="3">
        <v>1</v>
      </c>
    </row>
    <row r="5" spans="1:4" x14ac:dyDescent="0.35">
      <c r="A5" s="3">
        <v>16</v>
      </c>
      <c r="B5" s="3">
        <v>1</v>
      </c>
    </row>
    <row r="6" spans="1:4" x14ac:dyDescent="0.35">
      <c r="A6" s="3">
        <v>17</v>
      </c>
      <c r="B6" s="3">
        <v>1</v>
      </c>
    </row>
    <row r="7" spans="1:4" x14ac:dyDescent="0.35">
      <c r="A7" s="3">
        <v>18</v>
      </c>
      <c r="B7" s="3">
        <v>1</v>
      </c>
    </row>
    <row r="8" spans="1:4" x14ac:dyDescent="0.35">
      <c r="A8" s="3">
        <v>4</v>
      </c>
      <c r="B8" s="3">
        <v>2</v>
      </c>
    </row>
    <row r="9" spans="1:4" x14ac:dyDescent="0.35">
      <c r="A9" s="3">
        <v>5</v>
      </c>
      <c r="B9" s="3">
        <v>2</v>
      </c>
    </row>
    <row r="10" spans="1:4" x14ac:dyDescent="0.35">
      <c r="A10" s="3">
        <v>6</v>
      </c>
      <c r="B10" s="3">
        <v>2</v>
      </c>
    </row>
    <row r="11" spans="1:4" x14ac:dyDescent="0.35">
      <c r="A11" s="3">
        <v>19</v>
      </c>
      <c r="B11" s="3">
        <v>2</v>
      </c>
    </row>
    <row r="12" spans="1:4" x14ac:dyDescent="0.35">
      <c r="A12" s="3">
        <v>20</v>
      </c>
      <c r="B12" s="3">
        <v>2</v>
      </c>
    </row>
    <row r="13" spans="1:4" x14ac:dyDescent="0.35">
      <c r="A13" s="3">
        <v>21</v>
      </c>
      <c r="B13" s="3">
        <v>2</v>
      </c>
    </row>
    <row r="14" spans="1:4" x14ac:dyDescent="0.35">
      <c r="A14" s="3">
        <v>7</v>
      </c>
      <c r="B14" s="3">
        <v>3</v>
      </c>
    </row>
    <row r="15" spans="1:4" x14ac:dyDescent="0.35">
      <c r="A15" s="3">
        <v>8</v>
      </c>
      <c r="B15" s="3">
        <v>3</v>
      </c>
    </row>
    <row r="16" spans="1:4" x14ac:dyDescent="0.35">
      <c r="A16" s="3">
        <v>9</v>
      </c>
      <c r="B16" s="3">
        <v>3</v>
      </c>
    </row>
    <row r="17" spans="1:2" x14ac:dyDescent="0.35">
      <c r="A17" s="3">
        <v>22</v>
      </c>
      <c r="B17" s="3">
        <v>3</v>
      </c>
    </row>
    <row r="18" spans="1:2" x14ac:dyDescent="0.35">
      <c r="A18" s="3">
        <v>23</v>
      </c>
      <c r="B18" s="3">
        <v>3</v>
      </c>
    </row>
    <row r="19" spans="1:2" x14ac:dyDescent="0.35">
      <c r="A19" s="3">
        <v>24</v>
      </c>
      <c r="B19" s="3">
        <v>3</v>
      </c>
    </row>
    <row r="20" spans="1:2" x14ac:dyDescent="0.35">
      <c r="A20" s="3">
        <v>10</v>
      </c>
      <c r="B20" s="3">
        <v>4</v>
      </c>
    </row>
    <row r="21" spans="1:2" x14ac:dyDescent="0.35">
      <c r="A21" s="3">
        <v>11</v>
      </c>
      <c r="B21" s="3">
        <v>4</v>
      </c>
    </row>
    <row r="22" spans="1:2" x14ac:dyDescent="0.35">
      <c r="A22" s="3">
        <v>12</v>
      </c>
      <c r="B22" s="3">
        <v>4</v>
      </c>
    </row>
    <row r="23" spans="1:2" x14ac:dyDescent="0.35">
      <c r="A23" s="3">
        <v>25</v>
      </c>
      <c r="B23" s="3">
        <v>4</v>
      </c>
    </row>
    <row r="24" spans="1:2" x14ac:dyDescent="0.35">
      <c r="A24" s="3">
        <v>26</v>
      </c>
      <c r="B24" s="3">
        <v>4</v>
      </c>
    </row>
    <row r="25" spans="1:2" x14ac:dyDescent="0.35">
      <c r="A25" s="3">
        <v>27</v>
      </c>
      <c r="B25" s="3">
        <v>4</v>
      </c>
    </row>
    <row r="26" spans="1:2" x14ac:dyDescent="0.35">
      <c r="A26" s="3">
        <v>13</v>
      </c>
      <c r="B26" s="3">
        <v>5</v>
      </c>
    </row>
    <row r="27" spans="1:2" x14ac:dyDescent="0.35">
      <c r="A27" s="3">
        <v>14</v>
      </c>
      <c r="B27" s="3">
        <v>5</v>
      </c>
    </row>
    <row r="28" spans="1:2" x14ac:dyDescent="0.35">
      <c r="A28" s="3">
        <v>15</v>
      </c>
      <c r="B28" s="3">
        <v>5</v>
      </c>
    </row>
    <row r="29" spans="1:2" x14ac:dyDescent="0.35">
      <c r="A29" s="3">
        <v>28</v>
      </c>
      <c r="B29" s="3">
        <v>5</v>
      </c>
    </row>
    <row r="30" spans="1:2" x14ac:dyDescent="0.35">
      <c r="A30" s="3">
        <v>29</v>
      </c>
      <c r="B30" s="3">
        <v>5</v>
      </c>
    </row>
    <row r="31" spans="1:2" x14ac:dyDescent="0.35">
      <c r="A31" s="3">
        <v>30</v>
      </c>
      <c r="B31" s="3">
        <v>5</v>
      </c>
    </row>
    <row r="32" spans="1:2" x14ac:dyDescent="0.35">
      <c r="A32" s="21"/>
      <c r="B32" s="21"/>
    </row>
  </sheetData>
  <sortState ref="A2:B31">
    <sortCondition ref="B2:B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5" x14ac:dyDescent="0.35"/>
  <cols>
    <col min="1" max="1" width="10.90625" customWidth="1"/>
  </cols>
  <sheetData>
    <row r="1" spans="1:1" x14ac:dyDescent="0.35">
      <c r="A1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generals</vt:lpstr>
      <vt:lpstr>Hoja3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2023-04-21T15:53:43Z</dcterms:modified>
</cp:coreProperties>
</file>